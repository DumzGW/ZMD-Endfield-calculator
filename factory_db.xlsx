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Mine\ZMD\"/>
    </mc:Choice>
  </mc:AlternateContent>
  <xr:revisionPtr revIDLastSave="0" documentId="13_ncr:1_{6E16B165-E4C8-42BB-ABCF-9855978D828B}" xr6:coauthVersionLast="47" xr6:coauthVersionMax="47" xr10:uidLastSave="{00000000-0000-0000-0000-000000000000}"/>
  <bookViews>
    <workbookView xWindow="6000" yWindow="2650" windowWidth="24560" windowHeight="13000" activeTab="2" xr2:uid="{00000000-000D-0000-FFFF-FFFF00000000}"/>
  </bookViews>
  <sheets>
    <sheet name="Items" sheetId="1" r:id="rId1"/>
    <sheet name="Limit" sheetId="4" r:id="rId2"/>
    <sheet name="Recipes" sheetId="2" r:id="rId3"/>
    <sheet name="sell_四号谷地" sheetId="6" r:id="rId4"/>
    <sheet name="sell_武陵城" sheetId="7" r:id="rId5"/>
  </sheets>
  <definedNames>
    <definedName name="材料产品">Items!$A:$A</definedName>
    <definedName name="材料产品列表">OFFSET(Items!$A$2,0,0,COUNTA(Items!$A:$A)-2,1)</definedName>
    <definedName name="可能的限制">材料产品列表,设备列表</definedName>
    <definedName name="设备">Items!$C:$C</definedName>
    <definedName name="设备列表">OFFSET(Items!$C$2,0,0,COUNTA(Items!$C:$C)-1,1)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2" i="2" l="1" a="1"/>
  <c r="F62" i="2" s="1"/>
  <c r="F63" i="2" a="1"/>
  <c r="F63" i="2" s="1"/>
  <c r="F64" i="2" a="1"/>
  <c r="F64" i="2" s="1"/>
  <c r="F65" i="2" a="1"/>
  <c r="F65" i="2" s="1"/>
  <c r="F66" i="2" a="1"/>
  <c r="F66" i="2" s="1"/>
  <c r="F67" i="2" a="1"/>
  <c r="F67" i="2" s="1"/>
  <c r="E62" i="2" a="1"/>
  <c r="E62" i="2" s="1"/>
  <c r="E63" i="2" a="1"/>
  <c r="E63" i="2" s="1"/>
  <c r="E64" i="2" a="1"/>
  <c r="E64" i="2" s="1"/>
  <c r="E65" i="2" a="1"/>
  <c r="E65" i="2" s="1"/>
  <c r="E66" i="2" a="1"/>
  <c r="E66" i="2" s="1"/>
  <c r="E67" i="2" a="1"/>
  <c r="E67" i="2" s="1"/>
  <c r="F16" i="1"/>
  <c r="D16" i="1"/>
  <c r="F15" i="1"/>
  <c r="D15" i="1"/>
  <c r="C4" i="4"/>
  <c r="C3" i="4"/>
  <c r="C2" i="4"/>
  <c r="B4" i="4"/>
  <c r="B3" i="4"/>
  <c r="B2" i="4"/>
  <c r="F56" i="2" a="1"/>
  <c r="F56" i="2" s="1"/>
  <c r="F57" i="2" a="1"/>
  <c r="F57" i="2" s="1"/>
  <c r="F58" i="2" a="1"/>
  <c r="F58" i="2" s="1"/>
  <c r="F59" i="2" a="1"/>
  <c r="F59" i="2" s="1"/>
  <c r="F60" i="2" a="1"/>
  <c r="F60" i="2" s="1"/>
  <c r="F61" i="2" a="1"/>
  <c r="F61" i="2" s="1"/>
  <c r="F55" i="2" a="1"/>
  <c r="F55" i="2" s="1"/>
  <c r="F54" i="2" a="1"/>
  <c r="F54" i="2" s="1"/>
  <c r="F49" i="2" a="1"/>
  <c r="F49" i="2" s="1"/>
  <c r="F50" i="2" a="1"/>
  <c r="F50" i="2" s="1"/>
  <c r="F51" i="2" a="1"/>
  <c r="F51" i="2" s="1"/>
  <c r="F52" i="2" a="1"/>
  <c r="F52" i="2" s="1"/>
  <c r="F53" i="2" a="1"/>
  <c r="F53" i="2" s="1"/>
  <c r="E49" i="2" a="1"/>
  <c r="E49" i="2" s="1"/>
  <c r="E50" i="2" a="1"/>
  <c r="E50" i="2" s="1"/>
  <c r="E51" i="2" a="1"/>
  <c r="E51" i="2" s="1"/>
  <c r="E52" i="2" a="1"/>
  <c r="E52" i="2" s="1"/>
  <c r="E53" i="2" a="1"/>
  <c r="E53" i="2" s="1"/>
  <c r="E54" i="2" a="1"/>
  <c r="E54" i="2" s="1"/>
  <c r="E55" i="2" a="1"/>
  <c r="E55" i="2" s="1"/>
  <c r="E56" i="2" a="1"/>
  <c r="E56" i="2" s="1"/>
  <c r="E57" i="2" a="1"/>
  <c r="E57" i="2" s="1"/>
  <c r="E58" i="2" a="1"/>
  <c r="E58" i="2" s="1"/>
  <c r="E59" i="2" a="1"/>
  <c r="E59" i="2" s="1"/>
  <c r="E60" i="2" a="1"/>
  <c r="E60" i="2" s="1"/>
  <c r="E61" i="2" a="1"/>
  <c r="E61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E44" i="2" a="1"/>
  <c r="E44" i="2" s="1"/>
  <c r="E45" i="2" a="1"/>
  <c r="E45" i="2" s="1"/>
  <c r="E46" i="2" a="1"/>
  <c r="E46" i="2" s="1"/>
  <c r="E47" i="2" a="1"/>
  <c r="E47" i="2" s="1"/>
  <c r="E48" i="2" a="1"/>
  <c r="E48" i="2" s="1"/>
  <c r="F40" i="2" a="1"/>
  <c r="F40" i="2" s="1"/>
  <c r="F41" i="2" a="1"/>
  <c r="F41" i="2" s="1"/>
  <c r="F42" i="2" a="1"/>
  <c r="F42" i="2" s="1"/>
  <c r="F43" i="2" a="1"/>
  <c r="F43" i="2" s="1"/>
  <c r="E40" i="2" a="1"/>
  <c r="E40" i="2" s="1"/>
  <c r="E41" i="2" a="1"/>
  <c r="E41" i="2" s="1"/>
  <c r="E42" i="2" a="1"/>
  <c r="E42" i="2" s="1"/>
  <c r="E43" i="2" a="1"/>
  <c r="E43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E32" i="2" a="1"/>
  <c r="E32" i="2" s="1"/>
  <c r="E33" i="2" a="1"/>
  <c r="E33" i="2" s="1"/>
  <c r="E34" i="2" a="1"/>
  <c r="E34" i="2" s="1"/>
  <c r="E35" i="2" a="1"/>
  <c r="E35" i="2" s="1"/>
  <c r="E36" i="2" a="1"/>
  <c r="E36" i="2" s="1"/>
  <c r="E37" i="2" a="1"/>
  <c r="E37" i="2" s="1"/>
  <c r="E38" i="2" a="1"/>
  <c r="E38" i="2" s="1"/>
  <c r="E39" i="2" a="1"/>
  <c r="E39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E25" i="2" a="1"/>
  <c r="E25" i="2" s="1"/>
  <c r="E26" i="2" a="1"/>
  <c r="E26" i="2" s="1"/>
  <c r="E27" i="2" a="1"/>
  <c r="E27" i="2" s="1"/>
  <c r="E28" i="2" a="1"/>
  <c r="E28" i="2" s="1"/>
  <c r="E29" i="2" a="1"/>
  <c r="E29" i="2" s="1"/>
  <c r="E30" i="2" a="1"/>
  <c r="E30" i="2" s="1"/>
  <c r="E31" i="2" a="1"/>
  <c r="E31" i="2" s="1"/>
  <c r="F22" i="2" a="1"/>
  <c r="F22" i="2" s="1"/>
  <c r="F23" i="2" a="1"/>
  <c r="F23" i="2" s="1"/>
  <c r="F24" i="2" a="1"/>
  <c r="F24" i="2" s="1"/>
  <c r="E22" i="2" a="1"/>
  <c r="E22" i="2" s="1"/>
  <c r="E23" i="2" a="1"/>
  <c r="E23" i="2" s="1"/>
  <c r="E24" i="2" a="1"/>
  <c r="E24" i="2" s="1"/>
  <c r="F19" i="2" a="1"/>
  <c r="F19" i="2" s="1"/>
  <c r="F20" i="2" a="1"/>
  <c r="F20" i="2" s="1"/>
  <c r="F21" i="2" a="1"/>
  <c r="F21" i="2" s="1"/>
  <c r="E19" i="2" a="1"/>
  <c r="E19" i="2" s="1"/>
  <c r="E20" i="2" a="1"/>
  <c r="E20" i="2" s="1"/>
  <c r="E21" i="2" a="1"/>
  <c r="E21" i="2" s="1"/>
  <c r="F17" i="2" a="1"/>
  <c r="F17" i="2" s="1"/>
  <c r="F18" i="2" a="1"/>
  <c r="F18" i="2" s="1"/>
  <c r="E17" i="2" a="1"/>
  <c r="E17" i="2" s="1"/>
  <c r="E18" i="2" a="1"/>
  <c r="E18" i="2" s="1"/>
  <c r="F14" i="2" a="1"/>
  <c r="F14" i="2" s="1"/>
  <c r="F15" i="2" a="1"/>
  <c r="F15" i="2" s="1"/>
  <c r="F16" i="2" a="1"/>
  <c r="F16" i="2" s="1"/>
  <c r="E13" i="2" a="1"/>
  <c r="E13" i="2" s="1"/>
  <c r="E14" i="2" a="1"/>
  <c r="E14" i="2" s="1"/>
  <c r="E15" i="2" a="1"/>
  <c r="E15" i="2" s="1"/>
  <c r="E16" i="2" a="1"/>
  <c r="E16" i="2" s="1"/>
  <c r="F11" i="2" a="1"/>
  <c r="F11" i="2" s="1"/>
  <c r="F12" i="2" a="1"/>
  <c r="F12" i="2" s="1"/>
  <c r="E10" i="2" a="1"/>
  <c r="E10" i="2" s="1"/>
  <c r="E11" i="2" a="1"/>
  <c r="E11" i="2" s="1"/>
  <c r="E12" i="2" a="1"/>
  <c r="E12" i="2" s="1"/>
  <c r="F6" i="2" a="1"/>
  <c r="F6" i="2" s="1"/>
  <c r="F8" i="2" a="1"/>
  <c r="F8" i="2" s="1"/>
  <c r="F5" i="2" a="1"/>
  <c r="F5" i="2" s="1"/>
  <c r="F7" i="2" a="1"/>
  <c r="F7" i="2" s="1"/>
  <c r="F9" i="2" a="1"/>
  <c r="F9" i="2" s="1"/>
  <c r="F10" i="2" a="1"/>
  <c r="F10" i="2" s="1"/>
  <c r="F13" i="2" a="1"/>
  <c r="F13" i="2" s="1"/>
  <c r="F2" i="2" a="1"/>
  <c r="F2" i="2" s="1"/>
  <c r="F3" i="2" a="1"/>
  <c r="F3" i="2" s="1"/>
  <c r="F4" i="2" a="1"/>
  <c r="F4" i="2" s="1"/>
  <c r="E8" i="2" a="1"/>
  <c r="E8" i="2" s="1"/>
  <c r="E9" i="2" a="1"/>
  <c r="E9" i="2" s="1"/>
  <c r="E6" i="2" a="1"/>
  <c r="E6" i="2" s="1"/>
  <c r="E7" i="2" a="1"/>
  <c r="E7" i="2" s="1"/>
  <c r="E3" i="2" a="1"/>
  <c r="E3" i="2" s="1"/>
  <c r="E4" i="2" a="1"/>
  <c r="E4" i="2" s="1"/>
  <c r="E5" i="2" a="1"/>
  <c r="E5" i="2" s="1"/>
  <c r="E2" i="2" a="1"/>
  <c r="E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<sst xmlns="http://schemas.openxmlformats.org/spreadsheetml/2006/main" count="340" uniqueCount="229">
  <si>
    <t>紫晶矿</t>
  </si>
  <si>
    <t>蓝铁矿</t>
  </si>
  <si>
    <t>荞花</t>
  </si>
  <si>
    <t>荞花种子</t>
  </si>
  <si>
    <t>柑实</t>
  </si>
  <si>
    <t>柑实种子</t>
  </si>
  <si>
    <t>砂叶</t>
  </si>
  <si>
    <t>砂叶种子</t>
  </si>
  <si>
    <t>酮化灌木</t>
  </si>
  <si>
    <t>酮化树种</t>
  </si>
  <si>
    <t>锦草</t>
  </si>
  <si>
    <t>锦草种子</t>
  </si>
  <si>
    <t>芽针</t>
  </si>
  <si>
    <t>芽针种子</t>
  </si>
  <si>
    <t>原木</t>
  </si>
  <si>
    <t>清水</t>
  </si>
  <si>
    <t>芽针溶液</t>
  </si>
  <si>
    <t>液化息壤</t>
  </si>
  <si>
    <t>碳块</t>
  </si>
  <si>
    <t>晶体外壳</t>
  </si>
  <si>
    <t>紫晶纤维</t>
  </si>
  <si>
    <t>蓝铁块</t>
  </si>
  <si>
    <t>稳定碳块</t>
  </si>
  <si>
    <t>密制晶体</t>
  </si>
  <si>
    <t>钢块</t>
  </si>
  <si>
    <t>息壤</t>
  </si>
  <si>
    <t>碳粉末</t>
  </si>
  <si>
    <t>源石粉末</t>
  </si>
  <si>
    <t>晶体外壳粉末</t>
  </si>
  <si>
    <t>紫晶粉末</t>
  </si>
  <si>
    <t>蓝铁粉末</t>
  </si>
  <si>
    <t>砂叶粉末</t>
  </si>
  <si>
    <t>酮化灌木粉末</t>
  </si>
  <si>
    <t>细磨荞花粉末</t>
  </si>
  <si>
    <t>细磨柑实粉末</t>
  </si>
  <si>
    <t>致密碳粉末</t>
  </si>
  <si>
    <t>致密源石粉末</t>
  </si>
  <si>
    <t>致密晶体粉末</t>
  </si>
  <si>
    <t>高晶粉末</t>
  </si>
  <si>
    <t>致密蓝铁粉末</t>
  </si>
  <si>
    <t>紫晶质瓶</t>
  </si>
  <si>
    <t>蓝铁瓶</t>
  </si>
  <si>
    <t>高晶质瓶</t>
  </si>
  <si>
    <t>钢质瓶</t>
  </si>
  <si>
    <t>紫晶零件</t>
  </si>
  <si>
    <t>铁制零件</t>
  </si>
  <si>
    <t>高晶零件</t>
  </si>
  <si>
    <t>钢制零件</t>
  </si>
  <si>
    <t>紫晶装备原件</t>
  </si>
  <si>
    <t>蓝铁装备原件</t>
  </si>
  <si>
    <t>高晶装备原件</t>
  </si>
  <si>
    <t>息壤装备原件</t>
  </si>
  <si>
    <t>低容谷地电池</t>
  </si>
  <si>
    <t>中容谷地电池</t>
  </si>
  <si>
    <t>高容谷地电池</t>
  </si>
  <si>
    <t>低容武陵电池</t>
  </si>
  <si>
    <t>荞花粉末</t>
  </si>
  <si>
    <t>柑实粉末</t>
  </si>
  <si>
    <t>锦草粉末</t>
  </si>
  <si>
    <t>芽针粉末</t>
  </si>
  <si>
    <t>荞愈药粉</t>
  </si>
  <si>
    <t>柑实冲剂</t>
  </si>
  <si>
    <t>蓬茸锦草粉末</t>
  </si>
  <si>
    <t>荆刺芽针粉末</t>
  </si>
  <si>
    <t>荞愈胶囊</t>
  </si>
  <si>
    <t>优质荞愈胶囊</t>
  </si>
  <si>
    <t>柑实罐头</t>
  </si>
  <si>
    <t>优质柑实罐头</t>
  </si>
  <si>
    <t>锦草软饮</t>
  </si>
  <si>
    <t>芽针针剂</t>
  </si>
  <si>
    <t>精选柑实罐头</t>
  </si>
  <si>
    <t>源矿</t>
  </si>
  <si>
    <t>源矿</t>
    <phoneticPr fontId="1" type="noConversion"/>
  </si>
  <si>
    <t>锦草溶液</t>
    <phoneticPr fontId="1" type="noConversion"/>
  </si>
  <si>
    <t>高晶纤维</t>
  </si>
  <si>
    <t>高晶纤维</t>
    <phoneticPr fontId="1" type="noConversion"/>
  </si>
  <si>
    <t>高晶质瓶（清水）</t>
    <phoneticPr fontId="1" type="noConversion"/>
  </si>
  <si>
    <t>蓝铁瓶（清水）</t>
    <phoneticPr fontId="1" type="noConversion"/>
  </si>
  <si>
    <t>蓝铁瓶（锦草溶液）</t>
    <phoneticPr fontId="1" type="noConversion"/>
  </si>
  <si>
    <t>蓝铁瓶（芽针溶液）</t>
    <phoneticPr fontId="1" type="noConversion"/>
  </si>
  <si>
    <t>蓝铁瓶（液化息壤）</t>
    <phoneticPr fontId="1" type="noConversion"/>
  </si>
  <si>
    <t>工业爆炸物</t>
  </si>
  <si>
    <t>工业爆炸物</t>
    <phoneticPr fontId="1" type="noConversion"/>
  </si>
  <si>
    <t>精选荞愈胶囊</t>
  </si>
  <si>
    <t>精选荞愈胶囊</t>
    <phoneticPr fontId="1" type="noConversion"/>
  </si>
  <si>
    <t>粉碎机</t>
  </si>
  <si>
    <t>配件机</t>
  </si>
  <si>
    <t>塑形机</t>
  </si>
  <si>
    <t>种植机</t>
  </si>
  <si>
    <t>采种机</t>
  </si>
  <si>
    <t>装备原件机</t>
  </si>
  <si>
    <t>灌装机</t>
  </si>
  <si>
    <t>封装机</t>
  </si>
  <si>
    <t>研磨机</t>
  </si>
  <si>
    <t>反应池</t>
  </si>
  <si>
    <t>天有洪炉</t>
  </si>
  <si>
    <t>拆解机</t>
  </si>
  <si>
    <t>output</t>
  </si>
  <si>
    <t>output_qty</t>
  </si>
  <si>
    <t>inputs</t>
  </si>
  <si>
    <t>tool</t>
  </si>
  <si>
    <t>锦草粉末:1;清水:1</t>
    <phoneticPr fontId="1" type="noConversion"/>
  </si>
  <si>
    <t>输入错误位置</t>
    <phoneticPr fontId="1" type="noConversion"/>
  </si>
  <si>
    <t>识别种类</t>
    <phoneticPr fontId="1" type="noConversion"/>
  </si>
  <si>
    <t>芽针粉末:1;清水:1</t>
    <phoneticPr fontId="1" type="noConversion"/>
  </si>
  <si>
    <t>息壤:1;清水:1</t>
    <phoneticPr fontId="1" type="noConversion"/>
  </si>
  <si>
    <t>砂叶:1</t>
    <phoneticPr fontId="1" type="noConversion"/>
  </si>
  <si>
    <t>精炼炉</t>
  </si>
  <si>
    <t>精炼炉</t>
    <phoneticPr fontId="1" type="noConversion"/>
  </si>
  <si>
    <t>源矿:1</t>
    <phoneticPr fontId="1" type="noConversion"/>
  </si>
  <si>
    <t>紫晶矿:1</t>
    <phoneticPr fontId="1" type="noConversion"/>
  </si>
  <si>
    <t>蓝铁矿:1</t>
    <phoneticPr fontId="1" type="noConversion"/>
  </si>
  <si>
    <t>致密碳粉末:1</t>
    <phoneticPr fontId="1" type="noConversion"/>
  </si>
  <si>
    <t>致密晶体粉末:1</t>
    <phoneticPr fontId="1" type="noConversion"/>
  </si>
  <si>
    <t>高晶粉末:1</t>
    <phoneticPr fontId="1" type="noConversion"/>
  </si>
  <si>
    <t>致密蓝铁粉末:1</t>
    <phoneticPr fontId="1" type="noConversion"/>
  </si>
  <si>
    <t>稳定碳块:2;清水:1</t>
    <phoneticPr fontId="1" type="noConversion"/>
  </si>
  <si>
    <t>碳块:1</t>
    <phoneticPr fontId="1" type="noConversion"/>
  </si>
  <si>
    <t>源石粉末</t>
    <phoneticPr fontId="1" type="noConversion"/>
  </si>
  <si>
    <t>晶体外壳</t>
    <phoneticPr fontId="1" type="noConversion"/>
  </si>
  <si>
    <t>晶体外壳:1</t>
    <phoneticPr fontId="1" type="noConversion"/>
  </si>
  <si>
    <t>紫晶纤维:1</t>
    <phoneticPr fontId="1" type="noConversion"/>
  </si>
  <si>
    <t>蓝铁块:1</t>
    <phoneticPr fontId="1" type="noConversion"/>
  </si>
  <si>
    <t>酮化灌木:1</t>
    <phoneticPr fontId="1" type="noConversion"/>
  </si>
  <si>
    <t>荞花粉末:2;砂叶粉末:1</t>
    <phoneticPr fontId="1" type="noConversion"/>
  </si>
  <si>
    <t>柑实粉末:2;砂叶粉末:1</t>
    <phoneticPr fontId="1" type="noConversion"/>
  </si>
  <si>
    <t>碳粉末:2;砂叶粉末:1</t>
    <phoneticPr fontId="1" type="noConversion"/>
  </si>
  <si>
    <t>源石粉末:2;砂叶粉末:1</t>
    <phoneticPr fontId="1" type="noConversion"/>
  </si>
  <si>
    <t>晶体外壳粉末:2;砂叶粉末:1</t>
    <phoneticPr fontId="1" type="noConversion"/>
  </si>
  <si>
    <t>紫晶粉末:2;砂叶粉末:1</t>
    <phoneticPr fontId="1" type="noConversion"/>
  </si>
  <si>
    <t>蓝铁粉末:2;砂叶粉末:1</t>
    <phoneticPr fontId="1" type="noConversion"/>
  </si>
  <si>
    <t>紫晶纤维:2</t>
    <phoneticPr fontId="1" type="noConversion"/>
  </si>
  <si>
    <t>蓝铁块:2</t>
    <phoneticPr fontId="1" type="noConversion"/>
  </si>
  <si>
    <t>高晶纤维:2</t>
    <phoneticPr fontId="1" type="noConversion"/>
  </si>
  <si>
    <t>钢块:2</t>
    <phoneticPr fontId="1" type="noConversion"/>
  </si>
  <si>
    <t>高晶纤维:1</t>
    <phoneticPr fontId="1" type="noConversion"/>
  </si>
  <si>
    <t>钢块:1</t>
    <phoneticPr fontId="1" type="noConversion"/>
  </si>
  <si>
    <t>晶体外壳:1;紫晶纤维:1</t>
    <phoneticPr fontId="1" type="noConversion"/>
  </si>
  <si>
    <t>紫晶装备原件</t>
    <phoneticPr fontId="1" type="noConversion"/>
  </si>
  <si>
    <t>蓝铁装备原件</t>
    <phoneticPr fontId="1" type="noConversion"/>
  </si>
  <si>
    <t>高晶装备原件</t>
    <phoneticPr fontId="1" type="noConversion"/>
  </si>
  <si>
    <t>息壤装备原件</t>
    <phoneticPr fontId="1" type="noConversion"/>
  </si>
  <si>
    <t>低容谷地电池</t>
    <phoneticPr fontId="1" type="noConversion"/>
  </si>
  <si>
    <t>中容谷地电池</t>
    <phoneticPr fontId="1" type="noConversion"/>
  </si>
  <si>
    <t>高容谷地电池</t>
    <phoneticPr fontId="1" type="noConversion"/>
  </si>
  <si>
    <t>低容武陵电池</t>
    <phoneticPr fontId="1" type="noConversion"/>
  </si>
  <si>
    <t>晶体外壳粉末</t>
    <phoneticPr fontId="1" type="noConversion"/>
  </si>
  <si>
    <t>酮化灌木粉末</t>
    <phoneticPr fontId="1" type="noConversion"/>
  </si>
  <si>
    <t>细磨荞花粉末</t>
    <phoneticPr fontId="1" type="noConversion"/>
  </si>
  <si>
    <t>细磨柑实粉末</t>
    <phoneticPr fontId="1" type="noConversion"/>
  </si>
  <si>
    <t>致密碳粉末</t>
    <phoneticPr fontId="1" type="noConversion"/>
  </si>
  <si>
    <t>致密源石粉末</t>
    <phoneticPr fontId="1" type="noConversion"/>
  </si>
  <si>
    <t>致密晶体粉末</t>
    <phoneticPr fontId="1" type="noConversion"/>
  </si>
  <si>
    <t>高晶粉末</t>
    <phoneticPr fontId="1" type="noConversion"/>
  </si>
  <si>
    <t>致密蓝铁粉末</t>
    <phoneticPr fontId="1" type="noConversion"/>
  </si>
  <si>
    <t>晶体外壳:2;蓝铁块:2</t>
    <phoneticPr fontId="1" type="noConversion"/>
  </si>
  <si>
    <t>密制晶体:2;高晶纤维:2</t>
    <phoneticPr fontId="1" type="noConversion"/>
  </si>
  <si>
    <t>密制晶体:2;息壤:2</t>
    <phoneticPr fontId="1" type="noConversion"/>
  </si>
  <si>
    <t>紫晶零件:1;源石粉末:2</t>
    <phoneticPr fontId="1" type="noConversion"/>
  </si>
  <si>
    <t>铁制零件:2;源石粉末:3</t>
    <phoneticPr fontId="1" type="noConversion"/>
  </si>
  <si>
    <t>钢制零件:2;致密源石粉末:3</t>
    <phoneticPr fontId="1" type="noConversion"/>
  </si>
  <si>
    <t>息壤:1;致密源石粉末:3</t>
    <phoneticPr fontId="1" type="noConversion"/>
  </si>
  <si>
    <t>高晶质瓶:1;清水:1</t>
    <phoneticPr fontId="1" type="noConversion"/>
  </si>
  <si>
    <t>蓝铁瓶:1;清水:1</t>
    <phoneticPr fontId="1" type="noConversion"/>
  </si>
  <si>
    <t>蓝铁瓶:1;锦草溶液:1</t>
    <phoneticPr fontId="1" type="noConversion"/>
  </si>
  <si>
    <t>蓝铁瓶:1;芽针溶液:1</t>
    <phoneticPr fontId="1" type="noConversion"/>
  </si>
  <si>
    <t>蓝铁瓶:1;液化息壤:1</t>
    <phoneticPr fontId="1" type="noConversion"/>
  </si>
  <si>
    <t>紫晶零件:1;酮化灌木粉末:0.2</t>
    <phoneticPr fontId="1" type="noConversion"/>
  </si>
  <si>
    <t>荞花粉末</t>
    <phoneticPr fontId="1" type="noConversion"/>
  </si>
  <si>
    <t>荞花:1</t>
    <phoneticPr fontId="1" type="noConversion"/>
  </si>
  <si>
    <t>柑实粉末</t>
    <phoneticPr fontId="1" type="noConversion"/>
  </si>
  <si>
    <t>柑实:1</t>
    <phoneticPr fontId="1" type="noConversion"/>
  </si>
  <si>
    <t>锦草粉末</t>
    <phoneticPr fontId="1" type="noConversion"/>
  </si>
  <si>
    <t>锦草:1</t>
    <phoneticPr fontId="1" type="noConversion"/>
  </si>
  <si>
    <t>芽针粉末</t>
    <phoneticPr fontId="1" type="noConversion"/>
  </si>
  <si>
    <t>芽针:1</t>
    <phoneticPr fontId="1" type="noConversion"/>
  </si>
  <si>
    <t>荞花粉末:1;紫晶质瓶:1</t>
    <phoneticPr fontId="1" type="noConversion"/>
  </si>
  <si>
    <t>荞花粉末:2;蓝铁瓶:2</t>
    <phoneticPr fontId="1" type="noConversion"/>
  </si>
  <si>
    <t>柑实粉末:1;紫晶质瓶:1</t>
    <phoneticPr fontId="1" type="noConversion"/>
  </si>
  <si>
    <t>柑实粉末:2;蓝铁瓶:2</t>
    <phoneticPr fontId="1" type="noConversion"/>
  </si>
  <si>
    <t>铁制零件:2;蓝铁瓶（锦草溶液）:1</t>
    <phoneticPr fontId="1" type="noConversion"/>
  </si>
  <si>
    <t>铁制零件:2;蓝铁瓶（芽针溶液）:1</t>
    <phoneticPr fontId="1" type="noConversion"/>
  </si>
  <si>
    <t>钢质瓶:2;细磨荞花粉末:2</t>
    <phoneticPr fontId="1" type="noConversion"/>
  </si>
  <si>
    <t>钢质瓶:2;细磨柑实粉末:2</t>
    <phoneticPr fontId="1" type="noConversion"/>
  </si>
  <si>
    <t>size</t>
    <phoneticPr fontId="1" type="noConversion"/>
  </si>
  <si>
    <t>Select_tool</t>
    <phoneticPr fontId="1" type="noConversion"/>
  </si>
  <si>
    <t>Nsize</t>
    <phoneticPr fontId="1" type="noConversion"/>
  </si>
  <si>
    <t>四号谷地</t>
    <phoneticPr fontId="1" type="noConversion"/>
  </si>
  <si>
    <t>武陵城</t>
    <phoneticPr fontId="1" type="noConversion"/>
  </si>
  <si>
    <t>材料</t>
    <phoneticPr fontId="1" type="noConversion"/>
  </si>
  <si>
    <t>materials</t>
    <phoneticPr fontId="1" type="noConversion"/>
  </si>
  <si>
    <t>商品名称</t>
    <phoneticPr fontId="1" type="noConversion"/>
  </si>
  <si>
    <t>价格</t>
    <phoneticPr fontId="1" type="noConversion"/>
  </si>
  <si>
    <t>紫晶零件</t>
    <phoneticPr fontId="1" type="noConversion"/>
  </si>
  <si>
    <t>紫晶质瓶</t>
    <phoneticPr fontId="1" type="noConversion"/>
  </si>
  <si>
    <t>荞愈胶囊</t>
    <phoneticPr fontId="1" type="noConversion"/>
  </si>
  <si>
    <t>柑实罐头</t>
    <phoneticPr fontId="1" type="noConversion"/>
  </si>
  <si>
    <t>优质柑实罐头</t>
    <phoneticPr fontId="1" type="noConversion"/>
  </si>
  <si>
    <t>优质荞愈胶囊</t>
    <phoneticPr fontId="1" type="noConversion"/>
  </si>
  <si>
    <t>中容谷底电池</t>
    <phoneticPr fontId="1" type="noConversion"/>
  </si>
  <si>
    <t>精选柑实罐头</t>
    <phoneticPr fontId="1" type="noConversion"/>
  </si>
  <si>
    <t>铁制零件</t>
    <phoneticPr fontId="1" type="noConversion"/>
  </si>
  <si>
    <t>钢制零件</t>
    <phoneticPr fontId="1" type="noConversion"/>
  </si>
  <si>
    <t>息壤</t>
    <phoneticPr fontId="1" type="noConversion"/>
  </si>
  <si>
    <t>锦草软饮</t>
    <phoneticPr fontId="1" type="noConversion"/>
  </si>
  <si>
    <t>芽针针剂</t>
    <phoneticPr fontId="1" type="noConversion"/>
  </si>
  <si>
    <t>ele</t>
    <phoneticPr fontId="1" type="noConversion"/>
  </si>
  <si>
    <t>植物培养(水培)</t>
  </si>
  <si>
    <t>植物培养(水培)</t>
    <phoneticPr fontId="1" type="noConversion"/>
  </si>
  <si>
    <t>植物培养</t>
  </si>
  <si>
    <t>植物培养</t>
    <phoneticPr fontId="1" type="noConversion"/>
  </si>
  <si>
    <t>荞花</t>
    <phoneticPr fontId="1" type="noConversion"/>
  </si>
  <si>
    <t>柑实</t>
    <phoneticPr fontId="1" type="noConversion"/>
  </si>
  <si>
    <t>砂叶</t>
    <phoneticPr fontId="1" type="noConversion"/>
  </si>
  <si>
    <t>锦草</t>
    <phoneticPr fontId="1" type="noConversion"/>
  </si>
  <si>
    <t>酮化灌木</t>
    <phoneticPr fontId="1" type="noConversion"/>
  </si>
  <si>
    <t>芽针</t>
    <phoneticPr fontId="1" type="noConversion"/>
  </si>
  <si>
    <t>(荞花)</t>
    <phoneticPr fontId="1" type="noConversion"/>
  </si>
  <si>
    <t>(柑实)</t>
    <phoneticPr fontId="1" type="noConversion"/>
  </si>
  <si>
    <t>(砂叶)</t>
    <phoneticPr fontId="1" type="noConversion"/>
  </si>
  <si>
    <t>(酮化灌木)</t>
    <phoneticPr fontId="1" type="noConversion"/>
  </si>
  <si>
    <t>(锦草)</t>
    <phoneticPr fontId="1" type="noConversion"/>
  </si>
  <si>
    <t>(芽针)</t>
    <phoneticPr fontId="1" type="noConversion"/>
  </si>
  <si>
    <t>(荞花):1</t>
    <phoneticPr fontId="1" type="noConversion"/>
  </si>
  <si>
    <t>(柑实):1</t>
    <phoneticPr fontId="1" type="noConversion"/>
  </si>
  <si>
    <t>(砂叶):1</t>
    <phoneticPr fontId="1" type="noConversion"/>
  </si>
  <si>
    <t>(酮化灌木):1</t>
    <phoneticPr fontId="1" type="noConversion"/>
  </si>
  <si>
    <t>(锦草):1</t>
    <phoneticPr fontId="1" type="noConversion"/>
  </si>
  <si>
    <t>(芽针):1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</si>
</sst>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 ;[Red]\-0.000\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/>
    <xf numFmtId="12" fontId="0" fillId="0" borderId="0" xfId="0" applyNumberFormat="1" applyAlignment="1">
      <alignment horizontal="center"/>
    </xf>
    <xf numFmtId="177" fontId="0" fillId="0" borderId="0" xfId="0" applyNumberFormat="1"/>
    <xf numFmtId="177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88"/>
  <sheetViews>
    <sheetView topLeftCell="A4" workbookViewId="0">
      <selection activeCell="A21" sqref="A21"/>
    </sheetView>
  </sheetViews>
  <sheetFormatPr defaultRowHeight="14" x14ac:dyDescent="0.3"/>
  <cols>
    <col min="3" max="3" width="13.25" customWidth="1"/>
    <col min="4" max="4" width="8.6640625" style="5"/>
  </cols>
  <sheetData>
    <row r="1" spans="1:6" x14ac:dyDescent="0.3">
      <c r="A1" t="s">
        <v>190</v>
      </c>
      <c r="C1" t="s">
        <v>185</v>
      </c>
      <c r="D1" s="5" t="s">
        <v>184</v>
      </c>
      <c r="E1" t="s">
        <v>186</v>
      </c>
      <c r="F1" t="s">
        <v>206</v>
      </c>
    </row>
    <row r="2" spans="1:6" x14ac:dyDescent="0.3">
      <c r="A2" t="s">
        <v>72</v>
      </c>
      <c r="C2" t="s">
        <v>108</v>
      </c>
      <c r="D2" s="5">
        <v>9</v>
      </c>
      <c r="E2">
        <v>2</v>
      </c>
      <c r="F2">
        <v>5</v>
      </c>
    </row>
    <row r="3" spans="1:6" x14ac:dyDescent="0.3">
      <c r="A3" s="1" t="s">
        <v>0</v>
      </c>
      <c r="C3" t="s">
        <v>85</v>
      </c>
      <c r="D3" s="5">
        <v>9</v>
      </c>
      <c r="E3">
        <v>2</v>
      </c>
      <c r="F3">
        <v>5</v>
      </c>
    </row>
    <row r="4" spans="1:6" x14ac:dyDescent="0.3">
      <c r="A4" t="s">
        <v>1</v>
      </c>
      <c r="C4" t="s">
        <v>86</v>
      </c>
      <c r="D4" s="5">
        <v>9</v>
      </c>
      <c r="E4">
        <v>2</v>
      </c>
      <c r="F4">
        <v>20</v>
      </c>
    </row>
    <row r="5" spans="1:6" x14ac:dyDescent="0.3">
      <c r="A5" t="s">
        <v>2</v>
      </c>
      <c r="C5" t="s">
        <v>87</v>
      </c>
      <c r="D5" s="5">
        <v>9</v>
      </c>
      <c r="E5">
        <v>2</v>
      </c>
      <c r="F5">
        <v>10</v>
      </c>
    </row>
    <row r="6" spans="1:6" x14ac:dyDescent="0.3">
      <c r="A6" t="s">
        <v>217</v>
      </c>
      <c r="C6" t="s">
        <v>88</v>
      </c>
      <c r="D6" s="5">
        <v>25</v>
      </c>
      <c r="E6">
        <v>4</v>
      </c>
      <c r="F6">
        <v>20</v>
      </c>
    </row>
    <row r="7" spans="1:6" x14ac:dyDescent="0.3">
      <c r="A7" t="s">
        <v>3</v>
      </c>
      <c r="C7" t="s">
        <v>89</v>
      </c>
      <c r="D7" s="5">
        <v>25</v>
      </c>
      <c r="E7">
        <v>4</v>
      </c>
      <c r="F7">
        <v>10</v>
      </c>
    </row>
    <row r="8" spans="1:6" x14ac:dyDescent="0.3">
      <c r="A8" t="s">
        <v>4</v>
      </c>
      <c r="C8" t="s">
        <v>90</v>
      </c>
      <c r="D8" s="5">
        <v>18</v>
      </c>
      <c r="E8">
        <v>5</v>
      </c>
      <c r="F8">
        <v>10</v>
      </c>
    </row>
    <row r="9" spans="1:6" x14ac:dyDescent="0.3">
      <c r="A9" t="s">
        <v>218</v>
      </c>
      <c r="C9" t="s">
        <v>91</v>
      </c>
      <c r="D9" s="5">
        <v>18</v>
      </c>
      <c r="E9">
        <v>5</v>
      </c>
      <c r="F9">
        <v>20</v>
      </c>
    </row>
    <row r="10" spans="1:6" x14ac:dyDescent="0.3">
      <c r="A10" t="s">
        <v>5</v>
      </c>
      <c r="C10" t="s">
        <v>92</v>
      </c>
      <c r="D10" s="5">
        <v>18</v>
      </c>
      <c r="E10">
        <v>5</v>
      </c>
      <c r="F10">
        <v>20</v>
      </c>
    </row>
    <row r="11" spans="1:6" x14ac:dyDescent="0.3">
      <c r="A11" t="s">
        <v>6</v>
      </c>
      <c r="C11" t="s">
        <v>93</v>
      </c>
      <c r="D11" s="5">
        <v>18</v>
      </c>
      <c r="E11">
        <v>5</v>
      </c>
      <c r="F11">
        <v>50</v>
      </c>
    </row>
    <row r="12" spans="1:6" x14ac:dyDescent="0.3">
      <c r="A12" t="s">
        <v>219</v>
      </c>
      <c r="C12" t="s">
        <v>94</v>
      </c>
      <c r="D12" s="5">
        <v>18</v>
      </c>
      <c r="E12">
        <v>5</v>
      </c>
      <c r="F12">
        <v>50</v>
      </c>
    </row>
    <row r="13" spans="1:6" x14ac:dyDescent="0.3">
      <c r="A13" t="s">
        <v>7</v>
      </c>
      <c r="C13" t="s">
        <v>95</v>
      </c>
      <c r="D13" s="5">
        <v>25</v>
      </c>
      <c r="E13">
        <v>4</v>
      </c>
      <c r="F13">
        <v>50</v>
      </c>
    </row>
    <row r="14" spans="1:6" x14ac:dyDescent="0.3">
      <c r="A14" t="s">
        <v>8</v>
      </c>
      <c r="C14" t="s">
        <v>96</v>
      </c>
      <c r="D14" s="5">
        <v>18</v>
      </c>
      <c r="E14">
        <v>5</v>
      </c>
      <c r="F14">
        <v>20</v>
      </c>
    </row>
    <row r="15" spans="1:6" x14ac:dyDescent="0.3">
      <c r="A15" t="s">
        <v>220</v>
      </c>
      <c r="C15" t="s">
        <v>210</v>
      </c>
      <c r="D15" s="5">
        <f>2*D6+D7+3</f>
        <v>78</v>
      </c>
      <c r="E15">
        <v>4</v>
      </c>
      <c r="F15">
        <f>2*F6+F7</f>
        <v>50</v>
      </c>
    </row>
    <row r="16" spans="1:6" x14ac:dyDescent="0.3">
      <c r="A16" t="s">
        <v>9</v>
      </c>
      <c r="C16" t="s">
        <v>208</v>
      </c>
      <c r="D16" s="5">
        <f>D6+D7+2</f>
        <v>52</v>
      </c>
      <c r="E16">
        <v>4</v>
      </c>
      <c r="F16">
        <f>F6+F7</f>
        <v>30</v>
      </c>
    </row>
    <row r="17" spans="1:1" x14ac:dyDescent="0.3">
      <c r="A17" t="s">
        <v>10</v>
      </c>
    </row>
    <row r="18" spans="1:1" x14ac:dyDescent="0.3">
      <c r="A18" t="s">
        <v>221</v>
      </c>
    </row>
    <row r="19" spans="1:1" x14ac:dyDescent="0.3">
      <c r="A19" t="s">
        <v>11</v>
      </c>
    </row>
    <row r="20" spans="1:1" x14ac:dyDescent="0.3">
      <c r="A20" t="s">
        <v>12</v>
      </c>
    </row>
    <row r="21" spans="1:1" x14ac:dyDescent="0.3">
      <c r="A21" t="s">
        <v>222</v>
      </c>
    </row>
    <row r="22" spans="1:1" x14ac:dyDescent="0.3">
      <c r="A22" t="s">
        <v>13</v>
      </c>
    </row>
    <row r="23" spans="1:1" x14ac:dyDescent="0.3">
      <c r="A23" t="s">
        <v>14</v>
      </c>
    </row>
    <row r="24" spans="1:1" x14ac:dyDescent="0.3">
      <c r="A24" t="s">
        <v>15</v>
      </c>
    </row>
    <row r="25" spans="1:1" x14ac:dyDescent="0.3">
      <c r="A25" t="s">
        <v>73</v>
      </c>
    </row>
    <row r="26" spans="1:1" x14ac:dyDescent="0.3">
      <c r="A26" t="s">
        <v>16</v>
      </c>
    </row>
    <row r="27" spans="1:1" x14ac:dyDescent="0.3">
      <c r="A27" t="s">
        <v>17</v>
      </c>
    </row>
    <row r="28" spans="1:1" x14ac:dyDescent="0.3">
      <c r="A28" t="s">
        <v>18</v>
      </c>
    </row>
    <row r="29" spans="1:1" x14ac:dyDescent="0.3">
      <c r="A29" t="s">
        <v>19</v>
      </c>
    </row>
    <row r="30" spans="1:1" x14ac:dyDescent="0.3">
      <c r="A30" t="s">
        <v>20</v>
      </c>
    </row>
    <row r="31" spans="1:1" x14ac:dyDescent="0.3">
      <c r="A31" t="s">
        <v>21</v>
      </c>
    </row>
    <row r="32" spans="1:1" x14ac:dyDescent="0.3">
      <c r="A32" t="s">
        <v>22</v>
      </c>
    </row>
    <row r="33" spans="1:1" x14ac:dyDescent="0.3">
      <c r="A33" t="s">
        <v>23</v>
      </c>
    </row>
    <row r="34" spans="1:1" x14ac:dyDescent="0.3">
      <c r="A34" t="s">
        <v>75</v>
      </c>
    </row>
    <row r="35" spans="1:1" x14ac:dyDescent="0.3">
      <c r="A35" t="s">
        <v>24</v>
      </c>
    </row>
    <row r="36" spans="1:1" x14ac:dyDescent="0.3">
      <c r="A36" t="s">
        <v>25</v>
      </c>
    </row>
    <row r="37" spans="1:1" x14ac:dyDescent="0.3">
      <c r="A37" t="s">
        <v>26</v>
      </c>
    </row>
    <row r="38" spans="1:1" x14ac:dyDescent="0.3">
      <c r="A38" t="s">
        <v>27</v>
      </c>
    </row>
    <row r="39" spans="1:1" x14ac:dyDescent="0.3">
      <c r="A39" t="s">
        <v>28</v>
      </c>
    </row>
    <row r="40" spans="1:1" x14ac:dyDescent="0.3">
      <c r="A40" t="s">
        <v>29</v>
      </c>
    </row>
    <row r="41" spans="1:1" x14ac:dyDescent="0.3">
      <c r="A41" t="s">
        <v>30</v>
      </c>
    </row>
    <row r="42" spans="1:1" x14ac:dyDescent="0.3">
      <c r="A42" t="s">
        <v>31</v>
      </c>
    </row>
    <row r="43" spans="1:1" x14ac:dyDescent="0.3">
      <c r="A43" t="s">
        <v>32</v>
      </c>
    </row>
    <row r="44" spans="1:1" x14ac:dyDescent="0.3">
      <c r="A44" t="s">
        <v>33</v>
      </c>
    </row>
    <row r="45" spans="1:1" x14ac:dyDescent="0.3">
      <c r="A45" t="s">
        <v>34</v>
      </c>
    </row>
    <row r="46" spans="1:1" x14ac:dyDescent="0.3">
      <c r="A46" t="s">
        <v>35</v>
      </c>
    </row>
    <row r="47" spans="1:1" x14ac:dyDescent="0.3">
      <c r="A47" t="s">
        <v>36</v>
      </c>
    </row>
    <row r="48" spans="1:1" x14ac:dyDescent="0.3">
      <c r="A48" t="s">
        <v>37</v>
      </c>
    </row>
    <row r="49" spans="1:1" x14ac:dyDescent="0.3">
      <c r="A49" t="s">
        <v>38</v>
      </c>
    </row>
    <row r="50" spans="1:1" x14ac:dyDescent="0.3">
      <c r="A50" t="s">
        <v>39</v>
      </c>
    </row>
    <row r="51" spans="1:1" x14ac:dyDescent="0.3">
      <c r="A51" t="s">
        <v>40</v>
      </c>
    </row>
    <row r="52" spans="1:1" x14ac:dyDescent="0.3">
      <c r="A52" t="s">
        <v>41</v>
      </c>
    </row>
    <row r="53" spans="1:1" x14ac:dyDescent="0.3">
      <c r="A53" t="s">
        <v>42</v>
      </c>
    </row>
    <row r="54" spans="1:1" x14ac:dyDescent="0.3">
      <c r="A54" t="s">
        <v>43</v>
      </c>
    </row>
    <row r="55" spans="1:1" x14ac:dyDescent="0.3">
      <c r="A55" t="s">
        <v>44</v>
      </c>
    </row>
    <row r="56" spans="1:1" x14ac:dyDescent="0.3">
      <c r="A56" t="s">
        <v>45</v>
      </c>
    </row>
    <row r="57" spans="1:1" x14ac:dyDescent="0.3">
      <c r="A57" t="s">
        <v>46</v>
      </c>
    </row>
    <row r="58" spans="1:1" x14ac:dyDescent="0.3">
      <c r="A58" t="s">
        <v>47</v>
      </c>
    </row>
    <row r="59" spans="1:1" x14ac:dyDescent="0.3">
      <c r="A59" t="s">
        <v>48</v>
      </c>
    </row>
    <row r="60" spans="1:1" x14ac:dyDescent="0.3">
      <c r="A60" t="s">
        <v>49</v>
      </c>
    </row>
    <row r="61" spans="1:1" x14ac:dyDescent="0.3">
      <c r="A61" t="s">
        <v>50</v>
      </c>
    </row>
    <row r="62" spans="1:1" x14ac:dyDescent="0.3">
      <c r="A62" t="s">
        <v>51</v>
      </c>
    </row>
    <row r="63" spans="1:1" x14ac:dyDescent="0.3">
      <c r="A63" t="s">
        <v>52</v>
      </c>
    </row>
    <row r="64" spans="1:1" x14ac:dyDescent="0.3">
      <c r="A64" t="s">
        <v>53</v>
      </c>
    </row>
    <row r="65" spans="1:1" x14ac:dyDescent="0.3">
      <c r="A65" t="s">
        <v>54</v>
      </c>
    </row>
    <row r="66" spans="1:1" x14ac:dyDescent="0.3">
      <c r="A66" t="s">
        <v>55</v>
      </c>
    </row>
    <row r="67" spans="1:1" x14ac:dyDescent="0.3">
      <c r="A67" t="s">
        <v>76</v>
      </c>
    </row>
    <row r="68" spans="1:1" x14ac:dyDescent="0.3">
      <c r="A68" t="s">
        <v>77</v>
      </c>
    </row>
    <row r="69" spans="1:1" x14ac:dyDescent="0.3">
      <c r="A69" t="s">
        <v>78</v>
      </c>
    </row>
    <row r="70" spans="1:1" x14ac:dyDescent="0.3">
      <c r="A70" t="s">
        <v>79</v>
      </c>
    </row>
    <row r="71" spans="1:1" x14ac:dyDescent="0.3">
      <c r="A71" t="s">
        <v>80</v>
      </c>
    </row>
    <row r="72" spans="1:1" x14ac:dyDescent="0.3">
      <c r="A72" t="s">
        <v>82</v>
      </c>
    </row>
    <row r="73" spans="1:1" x14ac:dyDescent="0.3">
      <c r="A73" t="s">
        <v>56</v>
      </c>
    </row>
    <row r="74" spans="1:1" x14ac:dyDescent="0.3">
      <c r="A74" t="s">
        <v>57</v>
      </c>
    </row>
    <row r="75" spans="1:1" x14ac:dyDescent="0.3">
      <c r="A75" t="s">
        <v>58</v>
      </c>
    </row>
    <row r="76" spans="1:1" x14ac:dyDescent="0.3">
      <c r="A76" t="s">
        <v>59</v>
      </c>
    </row>
    <row r="77" spans="1:1" x14ac:dyDescent="0.3">
      <c r="A77" t="s">
        <v>60</v>
      </c>
    </row>
    <row r="78" spans="1:1" x14ac:dyDescent="0.3">
      <c r="A78" t="s">
        <v>61</v>
      </c>
    </row>
    <row r="79" spans="1:1" x14ac:dyDescent="0.3">
      <c r="A79" t="s">
        <v>62</v>
      </c>
    </row>
    <row r="80" spans="1:1" x14ac:dyDescent="0.3">
      <c r="A80" t="s">
        <v>63</v>
      </c>
    </row>
    <row r="81" spans="1:1" x14ac:dyDescent="0.3">
      <c r="A81" t="s">
        <v>64</v>
      </c>
    </row>
    <row r="82" spans="1:1" x14ac:dyDescent="0.3">
      <c r="A82" t="s">
        <v>65</v>
      </c>
    </row>
    <row r="83" spans="1:1" x14ac:dyDescent="0.3">
      <c r="A83" t="s">
        <v>66</v>
      </c>
    </row>
    <row r="84" spans="1:1" x14ac:dyDescent="0.3">
      <c r="A84" t="s">
        <v>67</v>
      </c>
    </row>
    <row r="85" spans="1:1" x14ac:dyDescent="0.3">
      <c r="A85" t="s">
        <v>68</v>
      </c>
    </row>
    <row r="86" spans="1:1" x14ac:dyDescent="0.3">
      <c r="A86" t="s">
        <v>69</v>
      </c>
    </row>
    <row r="87" spans="1:1" x14ac:dyDescent="0.3">
      <c r="A87" t="s">
        <v>84</v>
      </c>
    </row>
    <row r="88" spans="1:1" x14ac:dyDescent="0.3">
      <c r="A88" t="s">
        <v>70</v>
      </c>
    </row>
  </sheetData>
  <phoneticPr fontId="1" type="noConversion"/>
  <dataValidations count="3">
    <dataValidation allowBlank="1" showInputMessage="1" showErrorMessage="1" promptTitle="说明" prompt="占用大小" sqref="D1" xr:uid="{74F4A3C3-F6CF-4525-A362-4B53D51B5B7E}"/>
    <dataValidation allowBlank="1" showInputMessage="1" showErrorMessage="1" promptTitle="说明" prompt="不进行拐弯等情况下，会额外占用的格数" sqref="E1" xr:uid="{F573F1B6-DBD5-476A-91D8-79D2F1434117}"/>
    <dataValidation allowBlank="1" showInputMessage="1" showErrorMessage="1" promptTitle="说明" prompt="消耗电力_x000a_" sqref="F1" xr:uid="{4A0FE22A-AA53-4091-AD3A-7379B06157F3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6D8C-E223-478E-9282-66DFDF8E284C}">
  <dimension ref="A1:C5"/>
  <sheetViews>
    <sheetView workbookViewId="0">
      <selection activeCell="C4" sqref="C4"/>
    </sheetView>
  </sheetViews>
  <sheetFormatPr defaultRowHeight="14" x14ac:dyDescent="0.3"/>
  <cols>
    <col min="1" max="16384" width="8.6640625" style="10"/>
  </cols>
  <sheetData>
    <row r="1" spans="1:3" x14ac:dyDescent="0.3">
      <c r="A1" s="10" t="s">
        <v>189</v>
      </c>
      <c r="B1" s="10" t="s">
        <v>187</v>
      </c>
      <c r="C1" s="10" t="s">
        <v>188</v>
      </c>
    </row>
    <row r="2" spans="1:3" x14ac:dyDescent="0.3">
      <c r="A2" s="11" t="s">
        <v>71</v>
      </c>
      <c r="B2" s="10">
        <f>560/30</f>
        <v>18.666666666666668</v>
      </c>
      <c r="C2" s="10">
        <f>240/30</f>
        <v>8</v>
      </c>
    </row>
    <row r="3" spans="1:3" x14ac:dyDescent="0.3">
      <c r="A3" s="11" t="s">
        <v>0</v>
      </c>
      <c r="B3" s="10">
        <f>240/30</f>
        <v>8</v>
      </c>
      <c r="C3" s="10">
        <f>0</f>
        <v>0</v>
      </c>
    </row>
    <row r="4" spans="1:3" x14ac:dyDescent="0.3">
      <c r="A4" s="11" t="s">
        <v>1</v>
      </c>
      <c r="B4" s="10">
        <f>1080/30</f>
        <v>36</v>
      </c>
      <c r="C4" s="10">
        <f>90/30+1500/60/30</f>
        <v>3.8333333333333335</v>
      </c>
    </row>
    <row r="5" spans="1:3" x14ac:dyDescent="0.3">
      <c r="A5" s="10" t="s">
        <v>95</v>
      </c>
      <c r="B5" s="10">
        <v>0</v>
      </c>
      <c r="C5" s="10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B084-3474-4606-BDAD-BCF2E6FA9D78}">
  <sheetPr codeName="Sheet2"/>
  <dimension ref="A1:F309"/>
  <sheetViews>
    <sheetView tabSelected="1" topLeftCell="A46" workbookViewId="0">
      <selection activeCell="H62" sqref="H62"/>
    </sheetView>
  </sheetViews>
  <sheetFormatPr defaultRowHeight="14" x14ac:dyDescent="0.3"/>
  <cols>
    <col min="1" max="1" width="17.5" customWidth="1"/>
    <col min="2" max="2" width="10.6640625" style="4" customWidth="1"/>
    <col min="3" max="3" width="36.25" customWidth="1"/>
    <col min="4" max="4" width="14.4140625" style="4" customWidth="1"/>
    <col min="5" max="5" width="10.25" style="5" customWidth="1"/>
    <col min="6" max="6" width="13.25" style="7" customWidth="1"/>
  </cols>
  <sheetData>
    <row r="1" spans="1:6" x14ac:dyDescent="0.3">
      <c r="A1" s="3" t="s">
        <v>97</v>
      </c>
      <c r="B1" s="2" t="s">
        <v>98</v>
      </c>
      <c r="C1" s="3" t="s">
        <v>99</v>
      </c>
      <c r="D1" s="2" t="s">
        <v>100</v>
      </c>
      <c r="E1" s="2" t="s">
        <v>103</v>
      </c>
      <c r="F1" s="6" t="s">
        <v>102</v>
      </c>
    </row>
    <row r="2" spans="1:6" x14ac:dyDescent="0.3">
      <c r="A2" s="3" t="s">
        <v>73</v>
      </c>
      <c r="B2" s="2">
        <v>1</v>
      </c>
      <c r="C2" s="3" t="s">
        <v>101</v>
      </c>
      <c r="D2" s="2" t="s">
        <v>94</v>
      </c>
      <c r="E2" s="5" cm="1">
        <f t="array" aca="1" ref="E2" ca="1">SUMPRODUCT(
--ISNUMBER(
MATCH(
LEFT(
TRIM(MID(SUBSTITUTE(C2,";",REPT(" ",100)),
(ROW($1:$10)-1)*100+1,100)),
FIND(":",TRIM(MID(SUBSTITUTE(C2,";",REPT(" ",100)),
(ROW($1:$10)-1)*100+1,100))&amp;":")-1),
材料产品列表,0)),
--ISNUMBER(
--MID(
TRIM(MID(SUBSTITUTE(C2,";",REPT(" ",100)),
(ROW($1:$10)-1)*100+1,100)),
FIND(":",TRIM(MID(SUBSTITUTE(C2,";",REPT(" ",100)),
(ROW($1:$10)-1)*100+1,100))&amp;":")+1,99))
)</f>
        <v>2</v>
      </c>
      <c r="F2" s="7" t="str" cm="1">
        <f t="array" aca="1" ref="F2" ca="1">IF(
SUMPRODUCT(
--(
ISNUMBER(MATCH(
LEFT(
TRIM(MID(SUBSTITUTE($C2,";",REPT(" ",100)),
(ROW($1:$10)-1)*100+1,100)),
FIND(":",TRIM(MID(SUBSTITUTE($C2,";",REPT(" ",100)),
(ROW($1:$10)-1)*100+1,100))&amp;":")-1),
材料产品列表,0))
*
ISNUMBER(--MID(
TRIM(MID(SUBSTITUTE($C2,";",REPT(" ",100)),
(ROW($1:$10)-1)*100+1,100)),
FIND(":",TRIM(MID(SUBSTITUTE($C2,";",REPT(" ",100)),
(ROW($1:$10)-1)*100+1,100))&amp;":")+1,99))
)
)
=
LEN($C2)-LEN(SUBSTITUTE($C2,";",""))+1,
"全部正确",
IFERROR(
INDEX(
TRIM(MID(SUBSTITUTE($C2,";",REPT(" ",100)),
(ROW($1:$10)-1)*100+1,100)),
MATCH(0,
ISNUMBER(MATCH(
LEFT(
TRIM(MID(SUBSTITUTE($C2,";",REPT(" ",100)),
(ROW($1:$10)-1)*100+1,100)),
FIND(":",TRIM(MID(SUBSTITUTE($C2,";",REPT(" ",100)),
(ROW($1:$10)-1)*100+1,100))&amp;":")-1),
材料产品列表,0))
*
ISNUMBER(--MID(
TRIM(MID(SUBSTITUTE($C2,";",REPT(" ",100)),
(ROW($1:$10)-1)*100+1,100)),
FIND(":",TRIM(MID(SUBSTITUTE($C2,";",REPT(" ",100)),
(ROW($1:$10)-1)*100+1,100))&amp;":")+1,99)),
0)
),
"全部正确"
)
)</f>
        <v>全部正确</v>
      </c>
    </row>
    <row r="3" spans="1:6" x14ac:dyDescent="0.3">
      <c r="A3" s="3" t="s">
        <v>16</v>
      </c>
      <c r="B3" s="2">
        <v>1</v>
      </c>
      <c r="C3" s="3" t="s">
        <v>104</v>
      </c>
      <c r="D3" s="2" t="s">
        <v>94</v>
      </c>
      <c r="E3" s="5" cm="1">
        <f t="array" aca="1" ref="E3" ca="1">SUMPRODUCT(
--ISNUMBER(
MATCH(
LEFT(
TRIM(MID(SUBSTITUTE(C3,";",REPT(" ",100)),
(ROW($1:$10)-1)*100+1,100)),
FIND(":",TRIM(MID(SUBSTITUTE(C3,";",REPT(" ",100)),
(ROW($1:$10)-1)*100+1,100))&amp;":")-1),
材料产品列表,0)),
--ISNUMBER(
--MID(
TRIM(MID(SUBSTITUTE(C3,";",REPT(" ",100)),
(ROW($1:$10)-1)*100+1,100)),
FIND(":",TRIM(MID(SUBSTITUTE(C3,";",REPT(" ",100)),
(ROW($1:$10)-1)*100+1,100))&amp;":")+1,99))
)</f>
        <v>2</v>
      </c>
      <c r="F3" s="7" t="str" cm="1">
        <f t="array" aca="1" ref="F3" ca="1">IF(
SUMPRODUCT(
--(
ISNUMBER(MATCH(
LEFT(
TRIM(MID(SUBSTITUTE($C3,";",REPT(" ",100)),
(ROW($1:$10)-1)*100+1,100)),
FIND(":",TRIM(MID(SUBSTITUTE($C3,";",REPT(" ",100)),
(ROW($1:$10)-1)*100+1,100))&amp;":")-1),
材料产品列表,0))
*
ISNUMBER(--MID(
TRIM(MID(SUBSTITUTE($C3,";",REPT(" ",100)),
(ROW($1:$10)-1)*100+1,100)),
FIND(":",TRIM(MID(SUBSTITUTE($C3,";",REPT(" ",100)),
(ROW($1:$10)-1)*100+1,100))&amp;":")+1,99))
)
)
=
LEN($C3)-LEN(SUBSTITUTE($C3,";",""))+1,
"全部正确",
IFERROR(
INDEX(
TRIM(MID(SUBSTITUTE($C3,";",REPT(" ",100)),
(ROW($1:$10)-1)*100+1,100)),
MATCH(0,
ISNUMBER(MATCH(
LEFT(
TRIM(MID(SUBSTITUTE($C3,";",REPT(" ",100)),
(ROW($1:$10)-1)*100+1,100)),
FIND(":",TRIM(MID(SUBSTITUTE($C3,";",REPT(" ",100)),
(ROW($1:$10)-1)*100+1,100))&amp;":")-1),
材料产品列表,0))
*
ISNUMBER(--MID(
TRIM(MID(SUBSTITUTE($C3,";",REPT(" ",100)),
(ROW($1:$10)-1)*100+1,100)),
FIND(":",TRIM(MID(SUBSTITUTE($C3,";",REPT(" ",100)),
(ROW($1:$10)-1)*100+1,100))&amp;":")+1,99)),
0)
),
"全部正确"
)
)</f>
        <v>全部正确</v>
      </c>
    </row>
    <row r="4" spans="1:6" x14ac:dyDescent="0.3">
      <c r="A4" s="3" t="s">
        <v>17</v>
      </c>
      <c r="B4" s="2">
        <v>1</v>
      </c>
      <c r="C4" s="3" t="s">
        <v>105</v>
      </c>
      <c r="D4" s="2" t="s">
        <v>94</v>
      </c>
      <c r="E4" s="5" cm="1">
        <f t="array" aca="1" ref="E4" ca="1">SUMPRODUCT(
--ISNUMBER(
MATCH(
LEFT(
TRIM(MID(SUBSTITUTE(C4,";",REPT(" ",100)),
(ROW($1:$10)-1)*100+1,100)),
FIND(":",TRIM(MID(SUBSTITUTE(C4,";",REPT(" ",100)),
(ROW($1:$10)-1)*100+1,100))&amp;":")-1),
材料产品列表,0)),
--ISNUMBER(
--MID(
TRIM(MID(SUBSTITUTE(C4,";",REPT(" ",100)),
(ROW($1:$10)-1)*100+1,100)),
FIND(":",TRIM(MID(SUBSTITUTE(C4,";",REPT(" ",100)),
(ROW($1:$10)-1)*100+1,100))&amp;":")+1,99))
)</f>
        <v>2</v>
      </c>
      <c r="F4" s="7" t="str" cm="1">
        <f t="array" aca="1" ref="F4" ca="1">IF(
SUMPRODUCT(
--(
ISNUMBER(MATCH(
LEFT(
TRIM(MID(SUBSTITUTE($C4,";",REPT(" ",100)),
(ROW($1:$10)-1)*100+1,100)),
FIND(":",TRIM(MID(SUBSTITUTE($C4,";",REPT(" ",100)),
(ROW($1:$10)-1)*100+1,100))&amp;":")-1),
材料产品列表,0))
*
ISNUMBER(--MID(
TRIM(MID(SUBSTITUTE($C4,";",REPT(" ",100)),
(ROW($1:$10)-1)*100+1,100)),
FIND(":",TRIM(MID(SUBSTITUTE($C4,";",REPT(" ",100)),
(ROW($1:$10)-1)*100+1,100))&amp;":")+1,99))
)
)
=
LEN($C4)-LEN(SUBSTITUTE($C4,";",""))+1,
"全部正确",
IFERROR(
INDEX(
TRIM(MID(SUBSTITUTE($C4,";",REPT(" ",100)),
(ROW($1:$10)-1)*100+1,100)),
MATCH(0,
ISNUMBER(MATCH(
LEFT(
TRIM(MID(SUBSTITUTE($C4,";",REPT(" ",100)),
(ROW($1:$10)-1)*100+1,100)),
FIND(":",TRIM(MID(SUBSTITUTE($C4,";",REPT(" ",100)),
(ROW($1:$10)-1)*100+1,100))&amp;":")-1),
材料产品列表,0))
*
ISNUMBER(--MID(
TRIM(MID(SUBSTITUTE($C4,";",REPT(" ",100)),
(ROW($1:$10)-1)*100+1,100)),
FIND(":",TRIM(MID(SUBSTITUTE($C4,";",REPT(" ",100)),
(ROW($1:$10)-1)*100+1,100))&amp;":")+1,99)),
0)
),
"全部正确"
)
)</f>
        <v>全部正确</v>
      </c>
    </row>
    <row r="5" spans="1:6" x14ac:dyDescent="0.3">
      <c r="A5" s="3" t="s">
        <v>18</v>
      </c>
      <c r="B5" s="2">
        <v>1</v>
      </c>
      <c r="C5" s="3" t="s">
        <v>106</v>
      </c>
      <c r="D5" s="2" t="s">
        <v>107</v>
      </c>
      <c r="E5" s="5" cm="1">
        <f t="array" aca="1" ref="E5" ca="1">SUMPRODUCT(
--ISNUMBER(
MATCH(
LEFT(
TRIM(MID(SUBSTITUTE(C5,";",REPT(" ",100)),
(ROW($1:$10)-1)*100+1,100)),
FIND(":",TRIM(MID(SUBSTITUTE(C5,";",REPT(" ",100)),
(ROW($1:$10)-1)*100+1,100))&amp;":")-1),
材料产品列表,0)),
--ISNUMBER(
--MID(
TRIM(MID(SUBSTITUTE(C5,";",REPT(" ",100)),
(ROW($1:$10)-1)*100+1,100)),
FIND(":",TRIM(MID(SUBSTITUTE(C5,";",REPT(" ",100)),
(ROW($1:$10)-1)*100+1,100))&amp;":")+1,99))
)</f>
        <v>1</v>
      </c>
      <c r="F5" s="7" t="str" cm="1">
        <f t="array" aca="1" ref="F5" ca="1">IF(
SUMPRODUCT(
--(
ISNUMBER(MATCH(
LEFT(
TRIM(MID(SUBSTITUTE($C5,";",REPT(" ",100)),
(ROW($1:$10)-1)*100+1,100)),
FIND(":",TRIM(MID(SUBSTITUTE($C5,";",REPT(" ",100)),
(ROW($1:$10)-1)*100+1,100))&amp;":")-1),
材料产品列表,0))
*
ISNUMBER(--MID(
TRIM(MID(SUBSTITUTE($C5,";",REPT(" ",100)),
(ROW($1:$10)-1)*100+1,100)),
FIND(":",TRIM(MID(SUBSTITUTE($C5,";",REPT(" ",100)),
(ROW($1:$10)-1)*100+1,100))&amp;":")+1,99))
)
)
=
LEN($C5)-LEN(SUBSTITUTE($C5,";",""))+1,
"全部正确",
IFERROR(
INDEX(
TRIM(MID(SUBSTITUTE($C5,";",REPT(" ",100)),
(ROW($1:$10)-1)*100+1,100)),
MATCH(0,
ISNUMBER(MATCH(
LEFT(
TRIM(MID(SUBSTITUTE($C5,";",REPT(" ",100)),
(ROW($1:$10)-1)*100+1,100)),
FIND(":",TRIM(MID(SUBSTITUTE($C5,";",REPT(" ",100)),
(ROW($1:$10)-1)*100+1,100))&amp;":")-1),
材料产品列表,0))
*
ISNUMBER(--MID(
TRIM(MID(SUBSTITUTE($C5,";",REPT(" ",100)),
(ROW($1:$10)-1)*100+1,100)),
FIND(":",TRIM(MID(SUBSTITUTE($C5,";",REPT(" ",100)),
(ROW($1:$10)-1)*100+1,100))&amp;":")+1,99)),
0)
),
"全部正确"
)
)</f>
        <v>全部正确</v>
      </c>
    </row>
    <row r="6" spans="1:6" x14ac:dyDescent="0.3">
      <c r="A6" s="3" t="s">
        <v>119</v>
      </c>
      <c r="B6" s="2">
        <v>1</v>
      </c>
      <c r="C6" s="3" t="s">
        <v>109</v>
      </c>
      <c r="D6" s="2" t="s">
        <v>107</v>
      </c>
      <c r="E6" s="5" cm="1">
        <f t="array" aca="1" ref="E6" ca="1">SUMPRODUCT(
--ISNUMBER(
MATCH(
LEFT(
TRIM(MID(SUBSTITUTE(C6,";",REPT(" ",100)),
(ROW($1:$10)-1)*100+1,100)),
FIND(":",TRIM(MID(SUBSTITUTE(C6,";",REPT(" ",100)),
(ROW($1:$10)-1)*100+1,100))&amp;":")-1),
材料产品列表,0)),
--ISNUMBER(
--MID(
TRIM(MID(SUBSTITUTE(C6,";",REPT(" ",100)),
(ROW($1:$10)-1)*100+1,100)),
FIND(":",TRIM(MID(SUBSTITUTE(C6,";",REPT(" ",100)),
(ROW($1:$10)-1)*100+1,100))&amp;":")+1,99))
)</f>
        <v>1</v>
      </c>
      <c r="F6" s="7" t="str" cm="1">
        <f t="array" aca="1" ref="F6" ca="1">IF(
SUMPRODUCT(
--(
ISNUMBER(MATCH(
LEFT(
TRIM(MID(SUBSTITUTE($C6,";",REPT(" ",100)),
(ROW($1:$10)-1)*100+1,100)),
FIND(":",TRIM(MID(SUBSTITUTE($C6,";",REPT(" ",100)),
(ROW($1:$10)-1)*100+1,100))&amp;":")-1),
材料产品列表,0))
*
ISNUMBER(--MID(
TRIM(MID(SUBSTITUTE($C6,";",REPT(" ",100)),
(ROW($1:$10)-1)*100+1,100)),
FIND(":",TRIM(MID(SUBSTITUTE($C6,";",REPT(" ",100)),
(ROW($1:$10)-1)*100+1,100))&amp;":")+1,99))
)
)
=
LEN($C6)-LEN(SUBSTITUTE($C6,";",""))+1,
"全部正确",
IFERROR(
INDEX(
TRIM(MID(SUBSTITUTE($C6,";",REPT(" ",100)),
(ROW($1:$10)-1)*100+1,100)),
MATCH(0,
ISNUMBER(MATCH(
LEFT(
TRIM(MID(SUBSTITUTE($C6,";",REPT(" ",100)),
(ROW($1:$10)-1)*100+1,100)),
FIND(":",TRIM(MID(SUBSTITUTE($C6,";",REPT(" ",100)),
(ROW($1:$10)-1)*100+1,100))&amp;":")-1),
材料产品列表,0))
*
ISNUMBER(--MID(
TRIM(MID(SUBSTITUTE($C6,";",REPT(" ",100)),
(ROW($1:$10)-1)*100+1,100)),
FIND(":",TRIM(MID(SUBSTITUTE($C6,";",REPT(" ",100)),
(ROW($1:$10)-1)*100+1,100))&amp;":")+1,99)),
0)
),
"全部正确"
)
)</f>
        <v>全部正确</v>
      </c>
    </row>
    <row r="7" spans="1:6" x14ac:dyDescent="0.3">
      <c r="A7" s="3" t="s">
        <v>20</v>
      </c>
      <c r="B7" s="2">
        <v>1</v>
      </c>
      <c r="C7" s="3" t="s">
        <v>110</v>
      </c>
      <c r="D7" s="2" t="s">
        <v>107</v>
      </c>
      <c r="E7" s="5" cm="1">
        <f t="array" aca="1" ref="E7" ca="1">SUMPRODUCT(
--ISNUMBER(
MATCH(
LEFT(
TRIM(MID(SUBSTITUTE(C7,";",REPT(" ",100)),
(ROW($1:$10)-1)*100+1,100)),
FIND(":",TRIM(MID(SUBSTITUTE(C7,";",REPT(" ",100)),
(ROW($1:$10)-1)*100+1,100))&amp;":")-1),
材料产品列表,0)),
--ISNUMBER(
--MID(
TRIM(MID(SUBSTITUTE(C7,";",REPT(" ",100)),
(ROW($1:$10)-1)*100+1,100)),
FIND(":",TRIM(MID(SUBSTITUTE(C7,";",REPT(" ",100)),
(ROW($1:$10)-1)*100+1,100))&amp;":")+1,99))
)</f>
        <v>1</v>
      </c>
      <c r="F7" s="7" t="str" cm="1">
        <f t="array" aca="1" ref="F7" ca="1">IF(
SUMPRODUCT(
--(
ISNUMBER(MATCH(
LEFT(
TRIM(MID(SUBSTITUTE($C7,";",REPT(" ",100)),
(ROW($1:$10)-1)*100+1,100)),
FIND(":",TRIM(MID(SUBSTITUTE($C7,";",REPT(" ",100)),
(ROW($1:$10)-1)*100+1,100))&amp;":")-1),
材料产品列表,0))
*
ISNUMBER(--MID(
TRIM(MID(SUBSTITUTE($C7,";",REPT(" ",100)),
(ROW($1:$10)-1)*100+1,100)),
FIND(":",TRIM(MID(SUBSTITUTE($C7,";",REPT(" ",100)),
(ROW($1:$10)-1)*100+1,100))&amp;":")+1,99))
)
)
=
LEN($C7)-LEN(SUBSTITUTE($C7,";",""))+1,
"全部正确",
IFERROR(
INDEX(
TRIM(MID(SUBSTITUTE($C7,";",REPT(" ",100)),
(ROW($1:$10)-1)*100+1,100)),
MATCH(0,
ISNUMBER(MATCH(
LEFT(
TRIM(MID(SUBSTITUTE($C7,";",REPT(" ",100)),
(ROW($1:$10)-1)*100+1,100)),
FIND(":",TRIM(MID(SUBSTITUTE($C7,";",REPT(" ",100)),
(ROW($1:$10)-1)*100+1,100))&amp;":")-1),
材料产品列表,0))
*
ISNUMBER(--MID(
TRIM(MID(SUBSTITUTE($C7,";",REPT(" ",100)),
(ROW($1:$10)-1)*100+1,100)),
FIND(":",TRIM(MID(SUBSTITUTE($C7,";",REPT(" ",100)),
(ROW($1:$10)-1)*100+1,100))&amp;":")+1,99)),
0)
),
"全部正确"
)
)</f>
        <v>全部正确</v>
      </c>
    </row>
    <row r="8" spans="1:6" x14ac:dyDescent="0.3">
      <c r="A8" s="3" t="s">
        <v>21</v>
      </c>
      <c r="B8" s="2">
        <v>1</v>
      </c>
      <c r="C8" s="3" t="s">
        <v>111</v>
      </c>
      <c r="D8" s="2" t="s">
        <v>107</v>
      </c>
      <c r="E8" s="5" cm="1">
        <f t="array" aca="1" ref="E8" ca="1">SUMPRODUCT(
--ISNUMBER(
MATCH(
LEFT(
TRIM(MID(SUBSTITUTE(C8,";",REPT(" ",100)),
(ROW($1:$10)-1)*100+1,100)),
FIND(":",TRIM(MID(SUBSTITUTE(C8,";",REPT(" ",100)),
(ROW($1:$10)-1)*100+1,100))&amp;":")-1),
材料产品列表,0)),
--ISNUMBER(
--MID(
TRIM(MID(SUBSTITUTE(C8,";",REPT(" ",100)),
(ROW($1:$10)-1)*100+1,100)),
FIND(":",TRIM(MID(SUBSTITUTE(C8,";",REPT(" ",100)),
(ROW($1:$10)-1)*100+1,100))&amp;":")+1,99))
)</f>
        <v>1</v>
      </c>
      <c r="F8" s="7" t="str" cm="1">
        <f t="array" aca="1" ref="F8" ca="1">IF(
SUMPRODUCT(
--(
ISNUMBER(MATCH(
LEFT(
TRIM(MID(SUBSTITUTE($C8,";",REPT(" ",100)),
(ROW($1:$10)-1)*100+1,100)),
FIND(":",TRIM(MID(SUBSTITUTE($C8,";",REPT(" ",100)),
(ROW($1:$10)-1)*100+1,100))&amp;":")-1),
材料产品列表,0))
*
ISNUMBER(--MID(
TRIM(MID(SUBSTITUTE($C8,";",REPT(" ",100)),
(ROW($1:$10)-1)*100+1,100)),
FIND(":",TRIM(MID(SUBSTITUTE($C8,";",REPT(" ",100)),
(ROW($1:$10)-1)*100+1,100))&amp;":")+1,99))
)
)
=
LEN($C8)-LEN(SUBSTITUTE($C8,";",""))+1,
"全部正确",
IFERROR(
INDEX(
TRIM(MID(SUBSTITUTE($C8,";",REPT(" ",100)),
(ROW($1:$10)-1)*100+1,100)),
MATCH(0,
ISNUMBER(MATCH(
LEFT(
TRIM(MID(SUBSTITUTE($C8,";",REPT(" ",100)),
(ROW($1:$10)-1)*100+1,100)),
FIND(":",TRIM(MID(SUBSTITUTE($C8,";",REPT(" ",100)),
(ROW($1:$10)-1)*100+1,100))&amp;":")-1),
材料产品列表,0))
*
ISNUMBER(--MID(
TRIM(MID(SUBSTITUTE($C8,";",REPT(" ",100)),
(ROW($1:$10)-1)*100+1,100)),
FIND(":",TRIM(MID(SUBSTITUTE($C8,";",REPT(" ",100)),
(ROW($1:$10)-1)*100+1,100))&amp;":")+1,99)),
0)
),
"全部正确"
)
)</f>
        <v>全部正确</v>
      </c>
    </row>
    <row r="9" spans="1:6" x14ac:dyDescent="0.3">
      <c r="A9" s="3" t="s">
        <v>22</v>
      </c>
      <c r="B9" s="2">
        <v>1</v>
      </c>
      <c r="C9" s="3" t="s">
        <v>112</v>
      </c>
      <c r="D9" s="2" t="s">
        <v>107</v>
      </c>
      <c r="E9" s="5" cm="1">
        <f t="array" aca="1" ref="E9" ca="1">SUMPRODUCT(
--ISNUMBER(
MATCH(
LEFT(
TRIM(MID(SUBSTITUTE(C9,";",REPT(" ",100)),
(ROW($1:$10)-1)*100+1,100)),
FIND(":",TRIM(MID(SUBSTITUTE(C9,";",REPT(" ",100)),
(ROW($1:$10)-1)*100+1,100))&amp;":")-1),
材料产品列表,0)),
--ISNUMBER(
--MID(
TRIM(MID(SUBSTITUTE(C9,";",REPT(" ",100)),
(ROW($1:$10)-1)*100+1,100)),
FIND(":",TRIM(MID(SUBSTITUTE(C9,";",REPT(" ",100)),
(ROW($1:$10)-1)*100+1,100))&amp;":")+1,99))
)</f>
        <v>1</v>
      </c>
      <c r="F9" s="7" t="str" cm="1">
        <f t="array" aca="1" ref="F9" ca="1">IF(
SUMPRODUCT(
--(
ISNUMBER(MATCH(
LEFT(
TRIM(MID(SUBSTITUTE($C9,";",REPT(" ",100)),
(ROW($1:$10)-1)*100+1,100)),
FIND(":",TRIM(MID(SUBSTITUTE($C9,";",REPT(" ",100)),
(ROW($1:$10)-1)*100+1,100))&amp;":")-1),
材料产品列表,0))
*
ISNUMBER(--MID(
TRIM(MID(SUBSTITUTE($C9,";",REPT(" ",100)),
(ROW($1:$10)-1)*100+1,100)),
FIND(":",TRIM(MID(SUBSTITUTE($C9,";",REPT(" ",100)),
(ROW($1:$10)-1)*100+1,100))&amp;":")+1,99))
)
)
=
LEN($C9)-LEN(SUBSTITUTE($C9,";",""))+1,
"全部正确",
IFERROR(
INDEX(
TRIM(MID(SUBSTITUTE($C9,";",REPT(" ",100)),
(ROW($1:$10)-1)*100+1,100)),
MATCH(0,
ISNUMBER(MATCH(
LEFT(
TRIM(MID(SUBSTITUTE($C9,";",REPT(" ",100)),
(ROW($1:$10)-1)*100+1,100)),
FIND(":",TRIM(MID(SUBSTITUTE($C9,";",REPT(" ",100)),
(ROW($1:$10)-1)*100+1,100))&amp;":")-1),
材料产品列表,0))
*
ISNUMBER(--MID(
TRIM(MID(SUBSTITUTE($C9,";",REPT(" ",100)),
(ROW($1:$10)-1)*100+1,100)),
FIND(":",TRIM(MID(SUBSTITUTE($C9,";",REPT(" ",100)),
(ROW($1:$10)-1)*100+1,100))&amp;":")+1,99)),
0)
),
"全部正确"
)
)</f>
        <v>全部正确</v>
      </c>
    </row>
    <row r="10" spans="1:6" x14ac:dyDescent="0.3">
      <c r="A10" s="3" t="s">
        <v>23</v>
      </c>
      <c r="B10" s="2">
        <v>1</v>
      </c>
      <c r="C10" s="3" t="s">
        <v>113</v>
      </c>
      <c r="D10" s="2" t="s">
        <v>107</v>
      </c>
      <c r="E10" s="5" cm="1">
        <f t="array" aca="1" ref="E10" ca="1">SUMPRODUCT(
--ISNUMBER(
MATCH(
LEFT(
TRIM(MID(SUBSTITUTE(C10,";",REPT(" ",100)),
(ROW($1:$10)-1)*100+1,100)),
FIND(":",TRIM(MID(SUBSTITUTE(C10,";",REPT(" ",100)),
(ROW($1:$10)-1)*100+1,100))&amp;":")-1),
材料产品列表,0)),
--ISNUMBER(
--MID(
TRIM(MID(SUBSTITUTE(C10,";",REPT(" ",100)),
(ROW($1:$10)-1)*100+1,100)),
FIND(":",TRIM(MID(SUBSTITUTE(C10,";",REPT(" ",100)),
(ROW($1:$10)-1)*100+1,100))&amp;":")+1,99))
)</f>
        <v>1</v>
      </c>
      <c r="F10" s="7" t="str" cm="1">
        <f t="array" aca="1" ref="F10" ca="1">IF(
SUMPRODUCT(
--(
ISNUMBER(MATCH(
LEFT(
TRIM(MID(SUBSTITUTE($C10,";",REPT(" ",100)),
(ROW($1:$10)-1)*100+1,100)),
FIND(":",TRIM(MID(SUBSTITUTE($C10,";",REPT(" ",100)),
(ROW($1:$10)-1)*100+1,100))&amp;":")-1),
材料产品列表,0))
*
ISNUMBER(--MID(
TRIM(MID(SUBSTITUTE($C10,";",REPT(" ",100)),
(ROW($1:$10)-1)*100+1,100)),
FIND(":",TRIM(MID(SUBSTITUTE($C10,";",REPT(" ",100)),
(ROW($1:$10)-1)*100+1,100))&amp;":")+1,99))
)
)
=
LEN($C10)-LEN(SUBSTITUTE($C10,";",""))+1,
"全部正确",
IFERROR(
INDEX(
TRIM(MID(SUBSTITUTE($C10,";",REPT(" ",100)),
(ROW($1:$10)-1)*100+1,100)),
MATCH(0,
ISNUMBER(MATCH(
LEFT(
TRIM(MID(SUBSTITUTE($C10,";",REPT(" ",100)),
(ROW($1:$10)-1)*100+1,100)),
FIND(":",TRIM(MID(SUBSTITUTE($C10,";",REPT(" ",100)),
(ROW($1:$10)-1)*100+1,100))&amp;":")-1),
材料产品列表,0))
*
ISNUMBER(--MID(
TRIM(MID(SUBSTITUTE($C10,";",REPT(" ",100)),
(ROW($1:$10)-1)*100+1,100)),
FIND(":",TRIM(MID(SUBSTITUTE($C10,";",REPT(" ",100)),
(ROW($1:$10)-1)*100+1,100))&amp;":")+1,99)),
0)
),
"全部正确"
)
)</f>
        <v>全部正确</v>
      </c>
    </row>
    <row r="11" spans="1:6" x14ac:dyDescent="0.3">
      <c r="A11" s="3" t="s">
        <v>74</v>
      </c>
      <c r="B11" s="2">
        <v>1</v>
      </c>
      <c r="C11" t="s">
        <v>114</v>
      </c>
      <c r="D11" s="2" t="s">
        <v>107</v>
      </c>
      <c r="E11" s="5" cm="1">
        <f t="array" aca="1" ref="E11" ca="1">SUMPRODUCT(
--ISNUMBER(
MATCH(
LEFT(
TRIM(MID(SUBSTITUTE(C11,";",REPT(" ",100)),
(ROW($1:$10)-1)*100+1,100)),
FIND(":",TRIM(MID(SUBSTITUTE(C11,";",REPT(" ",100)),
(ROW($1:$10)-1)*100+1,100))&amp;":")-1),
材料产品列表,0)),
--ISNUMBER(
--MID(
TRIM(MID(SUBSTITUTE(C11,";",REPT(" ",100)),
(ROW($1:$10)-1)*100+1,100)),
FIND(":",TRIM(MID(SUBSTITUTE(C11,";",REPT(" ",100)),
(ROW($1:$10)-1)*100+1,100))&amp;":")+1,99))
)</f>
        <v>1</v>
      </c>
      <c r="F11" s="7" t="str" cm="1">
        <f t="array" aca="1" ref="F11" ca="1">IF(
SUMPRODUCT(
--(
ISNUMBER(MATCH(
LEFT(
TRIM(MID(SUBSTITUTE($C11,";",REPT(" ",100)),
(ROW($1:$10)-1)*100+1,100)),
FIND(":",TRIM(MID(SUBSTITUTE($C11,";",REPT(" ",100)),
(ROW($1:$10)-1)*100+1,100))&amp;":")-1),
材料产品列表,0))
*
ISNUMBER(--MID(
TRIM(MID(SUBSTITUTE($C11,";",REPT(" ",100)),
(ROW($1:$10)-1)*100+1,100)),
FIND(":",TRIM(MID(SUBSTITUTE($C11,";",REPT(" ",100)),
(ROW($1:$10)-1)*100+1,100))&amp;":")+1,99))
)
)
=
LEN($C11)-LEN(SUBSTITUTE($C11,";",""))+1,
"全部正确",
IFERROR(
INDEX(
TRIM(MID(SUBSTITUTE($C11,";",REPT(" ",100)),
(ROW($1:$10)-1)*100+1,100)),
MATCH(0,
ISNUMBER(MATCH(
LEFT(
TRIM(MID(SUBSTITUTE($C11,";",REPT(" ",100)),
(ROW($1:$10)-1)*100+1,100)),
FIND(":",TRIM(MID(SUBSTITUTE($C11,";",REPT(" ",100)),
(ROW($1:$10)-1)*100+1,100))&amp;":")-1),
材料产品列表,0))
*
ISNUMBER(--MID(
TRIM(MID(SUBSTITUTE($C11,";",REPT(" ",100)),
(ROW($1:$10)-1)*100+1,100)),
FIND(":",TRIM(MID(SUBSTITUTE($C11,";",REPT(" ",100)),
(ROW($1:$10)-1)*100+1,100))&amp;":")+1,99)),
0)
),
"全部正确"
)
)</f>
        <v>全部正确</v>
      </c>
    </row>
    <row r="12" spans="1:6" x14ac:dyDescent="0.3">
      <c r="A12" s="3" t="s">
        <v>24</v>
      </c>
      <c r="B12" s="2">
        <v>1</v>
      </c>
      <c r="C12" s="3" t="s">
        <v>115</v>
      </c>
      <c r="D12" s="2" t="s">
        <v>107</v>
      </c>
      <c r="E12" s="5" cm="1">
        <f t="array" aca="1" ref="E12" ca="1">SUMPRODUCT(
--ISNUMBER(
MATCH(
LEFT(
TRIM(MID(SUBSTITUTE(C12,";",REPT(" ",100)),
(ROW($1:$10)-1)*100+1,100)),
FIND(":",TRIM(MID(SUBSTITUTE(C12,";",REPT(" ",100)),
(ROW($1:$10)-1)*100+1,100))&amp;":")-1),
材料产品列表,0)),
--ISNUMBER(
--MID(
TRIM(MID(SUBSTITUTE(C12,";",REPT(" ",100)),
(ROW($1:$10)-1)*100+1,100)),
FIND(":",TRIM(MID(SUBSTITUTE(C12,";",REPT(" ",100)),
(ROW($1:$10)-1)*100+1,100))&amp;":")+1,99))
)</f>
        <v>1</v>
      </c>
      <c r="F12" s="7" t="str" cm="1">
        <f t="array" aca="1" ref="F12" ca="1">IF(
SUMPRODUCT(
--(
ISNUMBER(MATCH(
LEFT(
TRIM(MID(SUBSTITUTE($C12,";",REPT(" ",100)),
(ROW($1:$10)-1)*100+1,100)),
FIND(":",TRIM(MID(SUBSTITUTE($C12,";",REPT(" ",100)),
(ROW($1:$10)-1)*100+1,100))&amp;":")-1),
材料产品列表,0))
*
ISNUMBER(--MID(
TRIM(MID(SUBSTITUTE($C12,";",REPT(" ",100)),
(ROW($1:$10)-1)*100+1,100)),
FIND(":",TRIM(MID(SUBSTITUTE($C12,";",REPT(" ",100)),
(ROW($1:$10)-1)*100+1,100))&amp;":")+1,99))
)
)
=
LEN($C12)-LEN(SUBSTITUTE($C12,";",""))+1,
"全部正确",
IFERROR(
INDEX(
TRIM(MID(SUBSTITUTE($C12,";",REPT(" ",100)),
(ROW($1:$10)-1)*100+1,100)),
MATCH(0,
ISNUMBER(MATCH(
LEFT(
TRIM(MID(SUBSTITUTE($C12,";",REPT(" ",100)),
(ROW($1:$10)-1)*100+1,100)),
FIND(":",TRIM(MID(SUBSTITUTE($C12,";",REPT(" ",100)),
(ROW($1:$10)-1)*100+1,100))&amp;":")-1),
材料产品列表,0))
*
ISNUMBER(--MID(
TRIM(MID(SUBSTITUTE($C12,";",REPT(" ",100)),
(ROW($1:$10)-1)*100+1,100)),
FIND(":",TRIM(MID(SUBSTITUTE($C12,";",REPT(" ",100)),
(ROW($1:$10)-1)*100+1,100))&amp;":")+1,99)),
0)
),
"全部正确"
)
)</f>
        <v>全部正确</v>
      </c>
    </row>
    <row r="13" spans="1:6" x14ac:dyDescent="0.3">
      <c r="A13" s="3" t="s">
        <v>25</v>
      </c>
      <c r="B13" s="2">
        <v>1</v>
      </c>
      <c r="C13" s="3" t="s">
        <v>116</v>
      </c>
      <c r="D13" s="2" t="s">
        <v>95</v>
      </c>
      <c r="E13" s="5" cm="1">
        <f t="array" aca="1" ref="E13" ca="1">SUMPRODUCT(
--ISNUMBER(
MATCH(
LEFT(
TRIM(MID(SUBSTITUTE(C13,";",REPT(" ",100)),
(ROW($1:$10)-1)*100+1,100)),
FIND(":",TRIM(MID(SUBSTITUTE(C13,";",REPT(" ",100)),
(ROW($1:$10)-1)*100+1,100))&amp;":")-1),
材料产品列表,0)),
--ISNUMBER(
--MID(
TRIM(MID(SUBSTITUTE(C13,";",REPT(" ",100)),
(ROW($1:$10)-1)*100+1,100)),
FIND(":",TRIM(MID(SUBSTITUTE(C13,";",REPT(" ",100)),
(ROW($1:$10)-1)*100+1,100))&amp;":")+1,99))
)</f>
        <v>2</v>
      </c>
      <c r="F13" s="7" t="str" cm="1">
        <f t="array" aca="1" ref="F13" ca="1">IF(
SUMPRODUCT(
--(
ISNUMBER(MATCH(
LEFT(
TRIM(MID(SUBSTITUTE($C13,";",REPT(" ",100)),
(ROW($1:$10)-1)*100+1,100)),
FIND(":",TRIM(MID(SUBSTITUTE($C13,";",REPT(" ",100)),
(ROW($1:$10)-1)*100+1,100))&amp;":")-1),
材料产品列表,0))
*
ISNUMBER(--MID(
TRIM(MID(SUBSTITUTE($C13,";",REPT(" ",100)),
(ROW($1:$10)-1)*100+1,100)),
FIND(":",TRIM(MID(SUBSTITUTE($C13,";",REPT(" ",100)),
(ROW($1:$10)-1)*100+1,100))&amp;":")+1,99))
)
)
=
LEN($C13)-LEN(SUBSTITUTE($C13,";",""))+1,
"全部正确",
IFERROR(
INDEX(
TRIM(MID(SUBSTITUTE($C13,";",REPT(" ",100)),
(ROW($1:$10)-1)*100+1,100)),
MATCH(0,
ISNUMBER(MATCH(
LEFT(
TRIM(MID(SUBSTITUTE($C13,";",REPT(" ",100)),
(ROW($1:$10)-1)*100+1,100)),
FIND(":",TRIM(MID(SUBSTITUTE($C13,";",REPT(" ",100)),
(ROW($1:$10)-1)*100+1,100))&amp;":")-1),
材料产品列表,0))
*
ISNUMBER(--MID(
TRIM(MID(SUBSTITUTE($C13,";",REPT(" ",100)),
(ROW($1:$10)-1)*100+1,100)),
FIND(":",TRIM(MID(SUBSTITUTE($C13,";",REPT(" ",100)),
(ROW($1:$10)-1)*100+1,100))&amp;":")+1,99)),
0)
),
"全部正确"
)
)</f>
        <v>全部正确</v>
      </c>
    </row>
    <row r="14" spans="1:6" x14ac:dyDescent="0.3">
      <c r="A14" s="3" t="s">
        <v>26</v>
      </c>
      <c r="B14" s="2">
        <v>2</v>
      </c>
      <c r="C14" s="3" t="s">
        <v>117</v>
      </c>
      <c r="D14" s="2" t="s">
        <v>85</v>
      </c>
      <c r="E14" s="5" cm="1">
        <f t="array" aca="1" ref="E14" ca="1">SUMPRODUCT(
--ISNUMBER(
MATCH(
LEFT(
TRIM(MID(SUBSTITUTE(C14,";",REPT(" ",100)),
(ROW($1:$10)-1)*100+1,100)),
FIND(":",TRIM(MID(SUBSTITUTE(C14,";",REPT(" ",100)),
(ROW($1:$10)-1)*100+1,100))&amp;":")-1),
材料产品列表,0)),
--ISNUMBER(
--MID(
TRIM(MID(SUBSTITUTE(C14,";",REPT(" ",100)),
(ROW($1:$10)-1)*100+1,100)),
FIND(":",TRIM(MID(SUBSTITUTE(C14,";",REPT(" ",100)),
(ROW($1:$10)-1)*100+1,100))&amp;":")+1,99))
)</f>
        <v>1</v>
      </c>
      <c r="F14" s="7" t="str" cm="1">
        <f t="array" aca="1" ref="F14" ca="1">IF(
SUMPRODUCT(
--(
ISNUMBER(MATCH(
LEFT(
TRIM(MID(SUBSTITUTE($C14,";",REPT(" ",100)),
(ROW($1:$10)-1)*100+1,100)),
FIND(":",TRIM(MID(SUBSTITUTE($C14,";",REPT(" ",100)),
(ROW($1:$10)-1)*100+1,100))&amp;":")-1),
材料产品列表,0))
*
ISNUMBER(--MID(
TRIM(MID(SUBSTITUTE($C14,";",REPT(" ",100)),
(ROW($1:$10)-1)*100+1,100)),
FIND(":",TRIM(MID(SUBSTITUTE($C14,";",REPT(" ",100)),
(ROW($1:$10)-1)*100+1,100))&amp;":")+1,99))
)
)
=
LEN($C14)-LEN(SUBSTITUTE($C14,";",""))+1,
"全部正确",
IFERROR(
INDEX(
TRIM(MID(SUBSTITUTE($C14,";",REPT(" ",100)),
(ROW($1:$10)-1)*100+1,100)),
MATCH(0,
ISNUMBER(MATCH(
LEFT(
TRIM(MID(SUBSTITUTE($C14,";",REPT(" ",100)),
(ROW($1:$10)-1)*100+1,100)),
FIND(":",TRIM(MID(SUBSTITUTE($C14,";",REPT(" ",100)),
(ROW($1:$10)-1)*100+1,100))&amp;":")-1),
材料产品列表,0))
*
ISNUMBER(--MID(
TRIM(MID(SUBSTITUTE($C14,";",REPT(" ",100)),
(ROW($1:$10)-1)*100+1,100)),
FIND(":",TRIM(MID(SUBSTITUTE($C14,";",REPT(" ",100)),
(ROW($1:$10)-1)*100+1,100))&amp;":")+1,99)),
0)
),
"全部正确"
)
)</f>
        <v>全部正确</v>
      </c>
    </row>
    <row r="15" spans="1:6" x14ac:dyDescent="0.3">
      <c r="A15" s="3" t="s">
        <v>118</v>
      </c>
      <c r="B15" s="2">
        <v>1</v>
      </c>
      <c r="C15" s="3" t="s">
        <v>109</v>
      </c>
      <c r="D15" s="2" t="s">
        <v>85</v>
      </c>
      <c r="E15" s="5" cm="1">
        <f t="array" aca="1" ref="E15" ca="1">SUMPRODUCT(
--ISNUMBER(
MATCH(
LEFT(
TRIM(MID(SUBSTITUTE(C15,";",REPT(" ",100)),
(ROW($1:$10)-1)*100+1,100)),
FIND(":",TRIM(MID(SUBSTITUTE(C15,";",REPT(" ",100)),
(ROW($1:$10)-1)*100+1,100))&amp;":")-1),
材料产品列表,0)),
--ISNUMBER(
--MID(
TRIM(MID(SUBSTITUTE(C15,";",REPT(" ",100)),
(ROW($1:$10)-1)*100+1,100)),
FIND(":",TRIM(MID(SUBSTITUTE(C15,";",REPT(" ",100)),
(ROW($1:$10)-1)*100+1,100))&amp;":")+1,99))
)</f>
        <v>1</v>
      </c>
      <c r="F15" s="7" t="str" cm="1">
        <f t="array" aca="1" ref="F15" ca="1">IF(
SUMPRODUCT(
--(
ISNUMBER(MATCH(
LEFT(
TRIM(MID(SUBSTITUTE($C15,";",REPT(" ",100)),
(ROW($1:$10)-1)*100+1,100)),
FIND(":",TRIM(MID(SUBSTITUTE($C15,";",REPT(" ",100)),
(ROW($1:$10)-1)*100+1,100))&amp;":")-1),
材料产品列表,0))
*
ISNUMBER(--MID(
TRIM(MID(SUBSTITUTE($C15,";",REPT(" ",100)),
(ROW($1:$10)-1)*100+1,100)),
FIND(":",TRIM(MID(SUBSTITUTE($C15,";",REPT(" ",100)),
(ROW($1:$10)-1)*100+1,100))&amp;":")+1,99))
)
)
=
LEN($C15)-LEN(SUBSTITUTE($C15,";",""))+1,
"全部正确",
IFERROR(
INDEX(
TRIM(MID(SUBSTITUTE($C15,";",REPT(" ",100)),
(ROW($1:$10)-1)*100+1,100)),
MATCH(0,
ISNUMBER(MATCH(
LEFT(
TRIM(MID(SUBSTITUTE($C15,";",REPT(" ",100)),
(ROW($1:$10)-1)*100+1,100)),
FIND(":",TRIM(MID(SUBSTITUTE($C15,";",REPT(" ",100)),
(ROW($1:$10)-1)*100+1,100))&amp;":")-1),
材料产品列表,0))
*
ISNUMBER(--MID(
TRIM(MID(SUBSTITUTE($C15,";",REPT(" ",100)),
(ROW($1:$10)-1)*100+1,100)),
FIND(":",TRIM(MID(SUBSTITUTE($C15,";",REPT(" ",100)),
(ROW($1:$10)-1)*100+1,100))&amp;":")+1,99)),
0)
),
"全部正确"
)
)</f>
        <v>全部正确</v>
      </c>
    </row>
    <row r="16" spans="1:6" x14ac:dyDescent="0.3">
      <c r="A16" s="3" t="s">
        <v>146</v>
      </c>
      <c r="B16" s="2">
        <v>1</v>
      </c>
      <c r="C16" s="3" t="s">
        <v>120</v>
      </c>
      <c r="D16" s="2" t="s">
        <v>85</v>
      </c>
      <c r="E16" s="5" cm="1">
        <f t="array" aca="1" ref="E16" ca="1">SUMPRODUCT(
--ISNUMBER(
MATCH(
LEFT(
TRIM(MID(SUBSTITUTE(C16,";",REPT(" ",100)),
(ROW($1:$10)-1)*100+1,100)),
FIND(":",TRIM(MID(SUBSTITUTE(C16,";",REPT(" ",100)),
(ROW($1:$10)-1)*100+1,100))&amp;":")-1),
材料产品列表,0)),
--ISNUMBER(
--MID(
TRIM(MID(SUBSTITUTE(C16,";",REPT(" ",100)),
(ROW($1:$10)-1)*100+1,100)),
FIND(":",TRIM(MID(SUBSTITUTE(C16,";",REPT(" ",100)),
(ROW($1:$10)-1)*100+1,100))&amp;":")+1,99))
)</f>
        <v>1</v>
      </c>
      <c r="F16" s="7" t="str" cm="1">
        <f t="array" aca="1" ref="F16" ca="1">IF(
SUMPRODUCT(
--(
ISNUMBER(MATCH(
LEFT(
TRIM(MID(SUBSTITUTE($C16,";",REPT(" ",100)),
(ROW($1:$10)-1)*100+1,100)),
FIND(":",TRIM(MID(SUBSTITUTE($C16,";",REPT(" ",100)),
(ROW($1:$10)-1)*100+1,100))&amp;":")-1),
材料产品列表,0))
*
ISNUMBER(--MID(
TRIM(MID(SUBSTITUTE($C16,";",REPT(" ",100)),
(ROW($1:$10)-1)*100+1,100)),
FIND(":",TRIM(MID(SUBSTITUTE($C16,";",REPT(" ",100)),
(ROW($1:$10)-1)*100+1,100))&amp;":")+1,99))
)
)
=
LEN($C16)-LEN(SUBSTITUTE($C16,";",""))+1,
"全部正确",
IFERROR(
INDEX(
TRIM(MID(SUBSTITUTE($C16,";",REPT(" ",100)),
(ROW($1:$10)-1)*100+1,100)),
MATCH(0,
ISNUMBER(MATCH(
LEFT(
TRIM(MID(SUBSTITUTE($C16,";",REPT(" ",100)),
(ROW($1:$10)-1)*100+1,100)),
FIND(":",TRIM(MID(SUBSTITUTE($C16,";",REPT(" ",100)),
(ROW($1:$10)-1)*100+1,100))&amp;":")-1),
材料产品列表,0))
*
ISNUMBER(--MID(
TRIM(MID(SUBSTITUTE($C16,";",REPT(" ",100)),
(ROW($1:$10)-1)*100+1,100)),
FIND(":",TRIM(MID(SUBSTITUTE($C16,";",REPT(" ",100)),
(ROW($1:$10)-1)*100+1,100))&amp;":")+1,99)),
0)
),
"全部正确"
)
)</f>
        <v>全部正确</v>
      </c>
    </row>
    <row r="17" spans="1:6" x14ac:dyDescent="0.3">
      <c r="A17" s="3" t="s">
        <v>29</v>
      </c>
      <c r="B17" s="2">
        <v>1</v>
      </c>
      <c r="C17" s="3" t="s">
        <v>121</v>
      </c>
      <c r="D17" s="2" t="s">
        <v>85</v>
      </c>
      <c r="E17" s="5" cm="1">
        <f t="array" aca="1" ref="E17" ca="1">SUMPRODUCT(
--ISNUMBER(
MATCH(
LEFT(
TRIM(MID(SUBSTITUTE(C17,";",REPT(" ",100)),
(ROW($1:$10)-1)*100+1,100)),
FIND(":",TRIM(MID(SUBSTITUTE(C17,";",REPT(" ",100)),
(ROW($1:$10)-1)*100+1,100))&amp;":")-1),
材料产品列表,0)),
--ISNUMBER(
--MID(
TRIM(MID(SUBSTITUTE(C17,";",REPT(" ",100)),
(ROW($1:$10)-1)*100+1,100)),
FIND(":",TRIM(MID(SUBSTITUTE(C17,";",REPT(" ",100)),
(ROW($1:$10)-1)*100+1,100))&amp;":")+1,99))
)</f>
        <v>1</v>
      </c>
      <c r="F17" s="7" t="str" cm="1">
        <f t="array" aca="1" ref="F17" ca="1">IF(
SUMPRODUCT(
--(
ISNUMBER(MATCH(
LEFT(
TRIM(MID(SUBSTITUTE($C17,";",REPT(" ",100)),
(ROW($1:$10)-1)*100+1,100)),
FIND(":",TRIM(MID(SUBSTITUTE($C17,";",REPT(" ",100)),
(ROW($1:$10)-1)*100+1,100))&amp;":")-1),
材料产品列表,0))
*
ISNUMBER(--MID(
TRIM(MID(SUBSTITUTE($C17,";",REPT(" ",100)),
(ROW($1:$10)-1)*100+1,100)),
FIND(":",TRIM(MID(SUBSTITUTE($C17,";",REPT(" ",100)),
(ROW($1:$10)-1)*100+1,100))&amp;":")+1,99))
)
)
=
LEN($C17)-LEN(SUBSTITUTE($C17,";",""))+1,
"全部正确",
IFERROR(
INDEX(
TRIM(MID(SUBSTITUTE($C17,";",REPT(" ",100)),
(ROW($1:$10)-1)*100+1,100)),
MATCH(0,
ISNUMBER(MATCH(
LEFT(
TRIM(MID(SUBSTITUTE($C17,";",REPT(" ",100)),
(ROW($1:$10)-1)*100+1,100)),
FIND(":",TRIM(MID(SUBSTITUTE($C17,";",REPT(" ",100)),
(ROW($1:$10)-1)*100+1,100))&amp;":")-1),
材料产品列表,0))
*
ISNUMBER(--MID(
TRIM(MID(SUBSTITUTE($C17,";",REPT(" ",100)),
(ROW($1:$10)-1)*100+1,100)),
FIND(":",TRIM(MID(SUBSTITUTE($C17,";",REPT(" ",100)),
(ROW($1:$10)-1)*100+1,100))&amp;":")+1,99)),
0)
),
"全部正确"
)
)</f>
        <v>全部正确</v>
      </c>
    </row>
    <row r="18" spans="1:6" x14ac:dyDescent="0.3">
      <c r="A18" s="3" t="s">
        <v>30</v>
      </c>
      <c r="B18" s="2">
        <v>1</v>
      </c>
      <c r="C18" s="3" t="s">
        <v>122</v>
      </c>
      <c r="D18" s="2" t="s">
        <v>85</v>
      </c>
      <c r="E18" s="5" cm="1">
        <f t="array" aca="1" ref="E18" ca="1">SUMPRODUCT(
--ISNUMBER(
MATCH(
LEFT(
TRIM(MID(SUBSTITUTE(C18,";",REPT(" ",100)),
(ROW($1:$10)-1)*100+1,100)),
FIND(":",TRIM(MID(SUBSTITUTE(C18,";",REPT(" ",100)),
(ROW($1:$10)-1)*100+1,100))&amp;":")-1),
材料产品列表,0)),
--ISNUMBER(
--MID(
TRIM(MID(SUBSTITUTE(C18,";",REPT(" ",100)),
(ROW($1:$10)-1)*100+1,100)),
FIND(":",TRIM(MID(SUBSTITUTE(C18,";",REPT(" ",100)),
(ROW($1:$10)-1)*100+1,100))&amp;":")+1,99))
)</f>
        <v>1</v>
      </c>
      <c r="F18" s="7" t="str" cm="1">
        <f t="array" aca="1" ref="F18" ca="1">IF(
SUMPRODUCT(
--(
ISNUMBER(MATCH(
LEFT(
TRIM(MID(SUBSTITUTE($C18,";",REPT(" ",100)),
(ROW($1:$10)-1)*100+1,100)),
FIND(":",TRIM(MID(SUBSTITUTE($C18,";",REPT(" ",100)),
(ROW($1:$10)-1)*100+1,100))&amp;":")-1),
材料产品列表,0))
*
ISNUMBER(--MID(
TRIM(MID(SUBSTITUTE($C18,";",REPT(" ",100)),
(ROW($1:$10)-1)*100+1,100)),
FIND(":",TRIM(MID(SUBSTITUTE($C18,";",REPT(" ",100)),
(ROW($1:$10)-1)*100+1,100))&amp;":")+1,99))
)
)
=
LEN($C18)-LEN(SUBSTITUTE($C18,";",""))+1,
"全部正确",
IFERROR(
INDEX(
TRIM(MID(SUBSTITUTE($C18,";",REPT(" ",100)),
(ROW($1:$10)-1)*100+1,100)),
MATCH(0,
ISNUMBER(MATCH(
LEFT(
TRIM(MID(SUBSTITUTE($C18,";",REPT(" ",100)),
(ROW($1:$10)-1)*100+1,100)),
FIND(":",TRIM(MID(SUBSTITUTE($C18,";",REPT(" ",100)),
(ROW($1:$10)-1)*100+1,100))&amp;":")-1),
材料产品列表,0))
*
ISNUMBER(--MID(
TRIM(MID(SUBSTITUTE($C18,";",REPT(" ",100)),
(ROW($1:$10)-1)*100+1,100)),
FIND(":",TRIM(MID(SUBSTITUTE($C18,";",REPT(" ",100)),
(ROW($1:$10)-1)*100+1,100))&amp;":")+1,99)),
0)
),
"全部正确"
)
)</f>
        <v>全部正确</v>
      </c>
    </row>
    <row r="19" spans="1:6" x14ac:dyDescent="0.3">
      <c r="A19" s="3" t="s">
        <v>31</v>
      </c>
      <c r="B19" s="2">
        <v>3</v>
      </c>
      <c r="C19" s="3" t="s">
        <v>106</v>
      </c>
      <c r="D19" s="2" t="s">
        <v>85</v>
      </c>
      <c r="E19" s="5" cm="1">
        <f t="array" aca="1" ref="E19" ca="1">SUMPRODUCT(
--ISNUMBER(
MATCH(
LEFT(
TRIM(MID(SUBSTITUTE(C19,";",REPT(" ",100)),
(ROW($1:$10)-1)*100+1,100)),
FIND(":",TRIM(MID(SUBSTITUTE(C19,";",REPT(" ",100)),
(ROW($1:$10)-1)*100+1,100))&amp;":")-1),
材料产品列表,0)),
--ISNUMBER(
--MID(
TRIM(MID(SUBSTITUTE(C19,";",REPT(" ",100)),
(ROW($1:$10)-1)*100+1,100)),
FIND(":",TRIM(MID(SUBSTITUTE(C19,";",REPT(" ",100)),
(ROW($1:$10)-1)*100+1,100))&amp;":")+1,99))
)</f>
        <v>1</v>
      </c>
      <c r="F19" s="7" t="str" cm="1">
        <f t="array" aca="1" ref="F19" ca="1">IF(
SUMPRODUCT(
--(
ISNUMBER(MATCH(
LEFT(
TRIM(MID(SUBSTITUTE($C19,";",REPT(" ",100)),
(ROW($1:$10)-1)*100+1,100)),
FIND(":",TRIM(MID(SUBSTITUTE($C19,";",REPT(" ",100)),
(ROW($1:$10)-1)*100+1,100))&amp;":")-1),
材料产品列表,0))
*
ISNUMBER(--MID(
TRIM(MID(SUBSTITUTE($C19,";",REPT(" ",100)),
(ROW($1:$10)-1)*100+1,100)),
FIND(":",TRIM(MID(SUBSTITUTE($C19,";",REPT(" ",100)),
(ROW($1:$10)-1)*100+1,100))&amp;":")+1,99))
)
)
=
LEN($C19)-LEN(SUBSTITUTE($C19,";",""))+1,
"全部正确",
IFERROR(
INDEX(
TRIM(MID(SUBSTITUTE($C19,";",REPT(" ",100)),
(ROW($1:$10)-1)*100+1,100)),
MATCH(0,
ISNUMBER(MATCH(
LEFT(
TRIM(MID(SUBSTITUTE($C19,";",REPT(" ",100)),
(ROW($1:$10)-1)*100+1,100)),
FIND(":",TRIM(MID(SUBSTITUTE($C19,";",REPT(" ",100)),
(ROW($1:$10)-1)*100+1,100))&amp;":")-1),
材料产品列表,0))
*
ISNUMBER(--MID(
TRIM(MID(SUBSTITUTE($C19,";",REPT(" ",100)),
(ROW($1:$10)-1)*100+1,100)),
FIND(":",TRIM(MID(SUBSTITUTE($C19,";",REPT(" ",100)),
(ROW($1:$10)-1)*100+1,100))&amp;":")+1,99)),
0)
),
"全部正确"
)
)</f>
        <v>全部正确</v>
      </c>
    </row>
    <row r="20" spans="1:6" x14ac:dyDescent="0.3">
      <c r="A20" s="3" t="s">
        <v>147</v>
      </c>
      <c r="B20" s="2">
        <v>2</v>
      </c>
      <c r="C20" s="3" t="s">
        <v>123</v>
      </c>
      <c r="D20" s="2" t="s">
        <v>85</v>
      </c>
      <c r="E20" s="5" cm="1">
        <f t="array" aca="1" ref="E20" ca="1">SUMPRODUCT(
--ISNUMBER(
MATCH(
LEFT(
TRIM(MID(SUBSTITUTE(C20,";",REPT(" ",100)),
(ROW($1:$10)-1)*100+1,100)),
FIND(":",TRIM(MID(SUBSTITUTE(C20,";",REPT(" ",100)),
(ROW($1:$10)-1)*100+1,100))&amp;":")-1),
材料产品列表,0)),
--ISNUMBER(
--MID(
TRIM(MID(SUBSTITUTE(C20,";",REPT(" ",100)),
(ROW($1:$10)-1)*100+1,100)),
FIND(":",TRIM(MID(SUBSTITUTE(C20,";",REPT(" ",100)),
(ROW($1:$10)-1)*100+1,100))&amp;":")+1,99))
)</f>
        <v>1</v>
      </c>
      <c r="F20" s="7" t="str" cm="1">
        <f t="array" aca="1" ref="F20" ca="1">IF(
SUMPRODUCT(
--(
ISNUMBER(MATCH(
LEFT(
TRIM(MID(SUBSTITUTE($C20,";",REPT(" ",100)),
(ROW($1:$10)-1)*100+1,100)),
FIND(":",TRIM(MID(SUBSTITUTE($C20,";",REPT(" ",100)),
(ROW($1:$10)-1)*100+1,100))&amp;":")-1),
材料产品列表,0))
*
ISNUMBER(--MID(
TRIM(MID(SUBSTITUTE($C20,";",REPT(" ",100)),
(ROW($1:$10)-1)*100+1,100)),
FIND(":",TRIM(MID(SUBSTITUTE($C20,";",REPT(" ",100)),
(ROW($1:$10)-1)*100+1,100))&amp;":")+1,99))
)
)
=
LEN($C20)-LEN(SUBSTITUTE($C20,";",""))+1,
"全部正确",
IFERROR(
INDEX(
TRIM(MID(SUBSTITUTE($C20,";",REPT(" ",100)),
(ROW($1:$10)-1)*100+1,100)),
MATCH(0,
ISNUMBER(MATCH(
LEFT(
TRIM(MID(SUBSTITUTE($C20,";",REPT(" ",100)),
(ROW($1:$10)-1)*100+1,100)),
FIND(":",TRIM(MID(SUBSTITUTE($C20,";",REPT(" ",100)),
(ROW($1:$10)-1)*100+1,100))&amp;":")-1),
材料产品列表,0))
*
ISNUMBER(--MID(
TRIM(MID(SUBSTITUTE($C20,";",REPT(" ",100)),
(ROW($1:$10)-1)*100+1,100)),
FIND(":",TRIM(MID(SUBSTITUTE($C20,";",REPT(" ",100)),
(ROW($1:$10)-1)*100+1,100))&amp;":")+1,99)),
0)
),
"全部正确"
)
)</f>
        <v>全部正确</v>
      </c>
    </row>
    <row r="21" spans="1:6" x14ac:dyDescent="0.3">
      <c r="A21" s="3" t="s">
        <v>148</v>
      </c>
      <c r="B21" s="2">
        <v>1</v>
      </c>
      <c r="C21" s="3" t="s">
        <v>124</v>
      </c>
      <c r="D21" s="2" t="s">
        <v>93</v>
      </c>
      <c r="E21" s="5" cm="1">
        <f t="array" aca="1" ref="E21" ca="1">SUMPRODUCT(
--ISNUMBER(
MATCH(
LEFT(
TRIM(MID(SUBSTITUTE(C21,";",REPT(" ",100)),
(ROW($1:$10)-1)*100+1,100)),
FIND(":",TRIM(MID(SUBSTITUTE(C21,";",REPT(" ",100)),
(ROW($1:$10)-1)*100+1,100))&amp;":")-1),
材料产品列表,0)),
--ISNUMBER(
--MID(
TRIM(MID(SUBSTITUTE(C21,";",REPT(" ",100)),
(ROW($1:$10)-1)*100+1,100)),
FIND(":",TRIM(MID(SUBSTITUTE(C21,";",REPT(" ",100)),
(ROW($1:$10)-1)*100+1,100))&amp;":")+1,99))
)</f>
        <v>2</v>
      </c>
      <c r="F21" s="7" t="str" cm="1">
        <f t="array" aca="1" ref="F21" ca="1">IF(
SUMPRODUCT(
--(
ISNUMBER(MATCH(
LEFT(
TRIM(MID(SUBSTITUTE($C21,";",REPT(" ",100)),
(ROW($1:$10)-1)*100+1,100)),
FIND(":",TRIM(MID(SUBSTITUTE($C21,";",REPT(" ",100)),
(ROW($1:$10)-1)*100+1,100))&amp;":")-1),
材料产品列表,0))
*
ISNUMBER(--MID(
TRIM(MID(SUBSTITUTE($C21,";",REPT(" ",100)),
(ROW($1:$10)-1)*100+1,100)),
FIND(":",TRIM(MID(SUBSTITUTE($C21,";",REPT(" ",100)),
(ROW($1:$10)-1)*100+1,100))&amp;":")+1,99))
)
)
=
LEN($C21)-LEN(SUBSTITUTE($C21,";",""))+1,
"全部正确",
IFERROR(
INDEX(
TRIM(MID(SUBSTITUTE($C21,";",REPT(" ",100)),
(ROW($1:$10)-1)*100+1,100)),
MATCH(0,
ISNUMBER(MATCH(
LEFT(
TRIM(MID(SUBSTITUTE($C21,";",REPT(" ",100)),
(ROW($1:$10)-1)*100+1,100)),
FIND(":",TRIM(MID(SUBSTITUTE($C21,";",REPT(" ",100)),
(ROW($1:$10)-1)*100+1,100))&amp;":")-1),
材料产品列表,0))
*
ISNUMBER(--MID(
TRIM(MID(SUBSTITUTE($C21,";",REPT(" ",100)),
(ROW($1:$10)-1)*100+1,100)),
FIND(":",TRIM(MID(SUBSTITUTE($C21,";",REPT(" ",100)),
(ROW($1:$10)-1)*100+1,100))&amp;":")+1,99)),
0)
),
"全部正确"
)
)</f>
        <v>全部正确</v>
      </c>
    </row>
    <row r="22" spans="1:6" x14ac:dyDescent="0.3">
      <c r="A22" s="3" t="s">
        <v>149</v>
      </c>
      <c r="B22" s="2">
        <v>1</v>
      </c>
      <c r="C22" s="3" t="s">
        <v>125</v>
      </c>
      <c r="D22" s="2" t="s">
        <v>93</v>
      </c>
      <c r="E22" s="5" cm="1">
        <f t="array" aca="1" ref="E22" ca="1">SUMPRODUCT(
--ISNUMBER(
MATCH(
LEFT(
TRIM(MID(SUBSTITUTE(C22,";",REPT(" ",100)),
(ROW($1:$10)-1)*100+1,100)),
FIND(":",TRIM(MID(SUBSTITUTE(C22,";",REPT(" ",100)),
(ROW($1:$10)-1)*100+1,100))&amp;":")-1),
材料产品列表,0)),
--ISNUMBER(
--MID(
TRIM(MID(SUBSTITUTE(C22,";",REPT(" ",100)),
(ROW($1:$10)-1)*100+1,100)),
FIND(":",TRIM(MID(SUBSTITUTE(C22,";",REPT(" ",100)),
(ROW($1:$10)-1)*100+1,100))&amp;":")+1,99))
)</f>
        <v>2</v>
      </c>
      <c r="F22" s="7" t="str" cm="1">
        <f t="array" aca="1" ref="F22" ca="1">IF(
SUMPRODUCT(
--(
ISNUMBER(MATCH(
LEFT(
TRIM(MID(SUBSTITUTE($C22,";",REPT(" ",100)),
(ROW($1:$10)-1)*100+1,100)),
FIND(":",TRIM(MID(SUBSTITUTE($C22,";",REPT(" ",100)),
(ROW($1:$10)-1)*100+1,100))&amp;":")-1),
材料产品列表,0))
*
ISNUMBER(--MID(
TRIM(MID(SUBSTITUTE($C22,";",REPT(" ",100)),
(ROW($1:$10)-1)*100+1,100)),
FIND(":",TRIM(MID(SUBSTITUTE($C22,";",REPT(" ",100)),
(ROW($1:$10)-1)*100+1,100))&amp;":")+1,99))
)
)
=
LEN($C22)-LEN(SUBSTITUTE($C22,";",""))+1,
"全部正确",
IFERROR(
INDEX(
TRIM(MID(SUBSTITUTE($C22,";",REPT(" ",100)),
(ROW($1:$10)-1)*100+1,100)),
MATCH(0,
ISNUMBER(MATCH(
LEFT(
TRIM(MID(SUBSTITUTE($C22,";",REPT(" ",100)),
(ROW($1:$10)-1)*100+1,100)),
FIND(":",TRIM(MID(SUBSTITUTE($C22,";",REPT(" ",100)),
(ROW($1:$10)-1)*100+1,100))&amp;":")-1),
材料产品列表,0))
*
ISNUMBER(--MID(
TRIM(MID(SUBSTITUTE($C22,";",REPT(" ",100)),
(ROW($1:$10)-1)*100+1,100)),
FIND(":",TRIM(MID(SUBSTITUTE($C22,";",REPT(" ",100)),
(ROW($1:$10)-1)*100+1,100))&amp;":")+1,99)),
0)
),
"全部正确"
)
)</f>
        <v>全部正确</v>
      </c>
    </row>
    <row r="23" spans="1:6" x14ac:dyDescent="0.3">
      <c r="A23" s="3" t="s">
        <v>150</v>
      </c>
      <c r="B23" s="2">
        <v>1</v>
      </c>
      <c r="C23" s="3" t="s">
        <v>126</v>
      </c>
      <c r="D23" s="2" t="s">
        <v>93</v>
      </c>
      <c r="E23" s="5" cm="1">
        <f t="array" aca="1" ref="E23" ca="1">SUMPRODUCT(
--ISNUMBER(
MATCH(
LEFT(
TRIM(MID(SUBSTITUTE(C23,";",REPT(" ",100)),
(ROW($1:$10)-1)*100+1,100)),
FIND(":",TRIM(MID(SUBSTITUTE(C23,";",REPT(" ",100)),
(ROW($1:$10)-1)*100+1,100))&amp;":")-1),
材料产品列表,0)),
--ISNUMBER(
--MID(
TRIM(MID(SUBSTITUTE(C23,";",REPT(" ",100)),
(ROW($1:$10)-1)*100+1,100)),
FIND(":",TRIM(MID(SUBSTITUTE(C23,";",REPT(" ",100)),
(ROW($1:$10)-1)*100+1,100))&amp;":")+1,99))
)</f>
        <v>2</v>
      </c>
      <c r="F23" s="7" t="str" cm="1">
        <f t="array" aca="1" ref="F23" ca="1">IF(
SUMPRODUCT(
--(
ISNUMBER(MATCH(
LEFT(
TRIM(MID(SUBSTITUTE($C23,";",REPT(" ",100)),
(ROW($1:$10)-1)*100+1,100)),
FIND(":",TRIM(MID(SUBSTITUTE($C23,";",REPT(" ",100)),
(ROW($1:$10)-1)*100+1,100))&amp;":")-1),
材料产品列表,0))
*
ISNUMBER(--MID(
TRIM(MID(SUBSTITUTE($C23,";",REPT(" ",100)),
(ROW($1:$10)-1)*100+1,100)),
FIND(":",TRIM(MID(SUBSTITUTE($C23,";",REPT(" ",100)),
(ROW($1:$10)-1)*100+1,100))&amp;":")+1,99))
)
)
=
LEN($C23)-LEN(SUBSTITUTE($C23,";",""))+1,
"全部正确",
IFERROR(
INDEX(
TRIM(MID(SUBSTITUTE($C23,";",REPT(" ",100)),
(ROW($1:$10)-1)*100+1,100)),
MATCH(0,
ISNUMBER(MATCH(
LEFT(
TRIM(MID(SUBSTITUTE($C23,";",REPT(" ",100)),
(ROW($1:$10)-1)*100+1,100)),
FIND(":",TRIM(MID(SUBSTITUTE($C23,";",REPT(" ",100)),
(ROW($1:$10)-1)*100+1,100))&amp;":")-1),
材料产品列表,0))
*
ISNUMBER(--MID(
TRIM(MID(SUBSTITUTE($C23,";",REPT(" ",100)),
(ROW($1:$10)-1)*100+1,100)),
FIND(":",TRIM(MID(SUBSTITUTE($C23,";",REPT(" ",100)),
(ROW($1:$10)-1)*100+1,100))&amp;":")+1,99)),
0)
),
"全部正确"
)
)</f>
        <v>全部正确</v>
      </c>
    </row>
    <row r="24" spans="1:6" x14ac:dyDescent="0.3">
      <c r="A24" s="3" t="s">
        <v>151</v>
      </c>
      <c r="B24" s="2">
        <v>1</v>
      </c>
      <c r="C24" s="3" t="s">
        <v>127</v>
      </c>
      <c r="D24" s="2" t="s">
        <v>93</v>
      </c>
      <c r="E24" s="5" cm="1">
        <f t="array" aca="1" ref="E24" ca="1">SUMPRODUCT(
--ISNUMBER(
MATCH(
LEFT(
TRIM(MID(SUBSTITUTE(C24,";",REPT(" ",100)),
(ROW($1:$10)-1)*100+1,100)),
FIND(":",TRIM(MID(SUBSTITUTE(C24,";",REPT(" ",100)),
(ROW($1:$10)-1)*100+1,100))&amp;":")-1),
材料产品列表,0)),
--ISNUMBER(
--MID(
TRIM(MID(SUBSTITUTE(C24,";",REPT(" ",100)),
(ROW($1:$10)-1)*100+1,100)),
FIND(":",TRIM(MID(SUBSTITUTE(C24,";",REPT(" ",100)),
(ROW($1:$10)-1)*100+1,100))&amp;":")+1,99))
)</f>
        <v>2</v>
      </c>
      <c r="F24" s="7" t="str" cm="1">
        <f t="array" aca="1" ref="F24" ca="1">IF(
SUMPRODUCT(
--(
ISNUMBER(MATCH(
LEFT(
TRIM(MID(SUBSTITUTE($C24,";",REPT(" ",100)),
(ROW($1:$10)-1)*100+1,100)),
FIND(":",TRIM(MID(SUBSTITUTE($C24,";",REPT(" ",100)),
(ROW($1:$10)-1)*100+1,100))&amp;":")-1),
材料产品列表,0))
*
ISNUMBER(--MID(
TRIM(MID(SUBSTITUTE($C24,";",REPT(" ",100)),
(ROW($1:$10)-1)*100+1,100)),
FIND(":",TRIM(MID(SUBSTITUTE($C24,";",REPT(" ",100)),
(ROW($1:$10)-1)*100+1,100))&amp;":")+1,99))
)
)
=
LEN($C24)-LEN(SUBSTITUTE($C24,";",""))+1,
"全部正确",
IFERROR(
INDEX(
TRIM(MID(SUBSTITUTE($C24,";",REPT(" ",100)),
(ROW($1:$10)-1)*100+1,100)),
MATCH(0,
ISNUMBER(MATCH(
LEFT(
TRIM(MID(SUBSTITUTE($C24,";",REPT(" ",100)),
(ROW($1:$10)-1)*100+1,100)),
FIND(":",TRIM(MID(SUBSTITUTE($C24,";",REPT(" ",100)),
(ROW($1:$10)-1)*100+1,100))&amp;":")-1),
材料产品列表,0))
*
ISNUMBER(--MID(
TRIM(MID(SUBSTITUTE($C24,";",REPT(" ",100)),
(ROW($1:$10)-1)*100+1,100)),
FIND(":",TRIM(MID(SUBSTITUTE($C24,";",REPT(" ",100)),
(ROW($1:$10)-1)*100+1,100))&amp;":")+1,99)),
0)
),
"全部正确"
)
)</f>
        <v>全部正确</v>
      </c>
    </row>
    <row r="25" spans="1:6" x14ac:dyDescent="0.3">
      <c r="A25" s="3" t="s">
        <v>152</v>
      </c>
      <c r="B25" s="2">
        <v>1</v>
      </c>
      <c r="C25" s="3" t="s">
        <v>128</v>
      </c>
      <c r="D25" s="2" t="s">
        <v>93</v>
      </c>
      <c r="E25" s="5" cm="1">
        <f t="array" aca="1" ref="E25" ca="1">SUMPRODUCT(
--ISNUMBER(
MATCH(
LEFT(
TRIM(MID(SUBSTITUTE(C25,";",REPT(" ",100)),
(ROW($1:$10)-1)*100+1,100)),
FIND(":",TRIM(MID(SUBSTITUTE(C25,";",REPT(" ",100)),
(ROW($1:$10)-1)*100+1,100))&amp;":")-1),
材料产品列表,0)),
--ISNUMBER(
--MID(
TRIM(MID(SUBSTITUTE(C25,";",REPT(" ",100)),
(ROW($1:$10)-1)*100+1,100)),
FIND(":",TRIM(MID(SUBSTITUTE(C25,";",REPT(" ",100)),
(ROW($1:$10)-1)*100+1,100))&amp;":")+1,99))
)</f>
        <v>2</v>
      </c>
      <c r="F25" s="7" t="str" cm="1">
        <f t="array" aca="1" ref="F25" ca="1">IF(
SUMPRODUCT(
--(
ISNUMBER(MATCH(
LEFT(
TRIM(MID(SUBSTITUTE($C25,";",REPT(" ",100)),
(ROW($1:$10)-1)*100+1,100)),
FIND(":",TRIM(MID(SUBSTITUTE($C25,";",REPT(" ",100)),
(ROW($1:$10)-1)*100+1,100))&amp;":")-1),
材料产品列表,0))
*
ISNUMBER(--MID(
TRIM(MID(SUBSTITUTE($C25,";",REPT(" ",100)),
(ROW($1:$10)-1)*100+1,100)),
FIND(":",TRIM(MID(SUBSTITUTE($C25,";",REPT(" ",100)),
(ROW($1:$10)-1)*100+1,100))&amp;":")+1,99))
)
)
=
LEN($C25)-LEN(SUBSTITUTE($C25,";",""))+1,
"全部正确",
IFERROR(
INDEX(
TRIM(MID(SUBSTITUTE($C25,";",REPT(" ",100)),
(ROW($1:$10)-1)*100+1,100)),
MATCH(0,
ISNUMBER(MATCH(
LEFT(
TRIM(MID(SUBSTITUTE($C25,";",REPT(" ",100)),
(ROW($1:$10)-1)*100+1,100)),
FIND(":",TRIM(MID(SUBSTITUTE($C25,";",REPT(" ",100)),
(ROW($1:$10)-1)*100+1,100))&amp;":")-1),
材料产品列表,0))
*
ISNUMBER(--MID(
TRIM(MID(SUBSTITUTE($C25,";",REPT(" ",100)),
(ROW($1:$10)-1)*100+1,100)),
FIND(":",TRIM(MID(SUBSTITUTE($C25,";",REPT(" ",100)),
(ROW($1:$10)-1)*100+1,100))&amp;":")+1,99)),
0)
),
"全部正确"
)
)</f>
        <v>全部正确</v>
      </c>
    </row>
    <row r="26" spans="1:6" x14ac:dyDescent="0.3">
      <c r="A26" s="3" t="s">
        <v>153</v>
      </c>
      <c r="B26" s="2">
        <v>1</v>
      </c>
      <c r="C26" t="s">
        <v>129</v>
      </c>
      <c r="D26" s="2" t="s">
        <v>93</v>
      </c>
      <c r="E26" s="5" cm="1">
        <f t="array" aca="1" ref="E26" ca="1">SUMPRODUCT(
--ISNUMBER(
MATCH(
LEFT(
TRIM(MID(SUBSTITUTE(C26,";",REPT(" ",100)),
(ROW($1:$10)-1)*100+1,100)),
FIND(":",TRIM(MID(SUBSTITUTE(C26,";",REPT(" ",100)),
(ROW($1:$10)-1)*100+1,100))&amp;":")-1),
材料产品列表,0)),
--ISNUMBER(
--MID(
TRIM(MID(SUBSTITUTE(C26,";",REPT(" ",100)),
(ROW($1:$10)-1)*100+1,100)),
FIND(":",TRIM(MID(SUBSTITUTE(C26,";",REPT(" ",100)),
(ROW($1:$10)-1)*100+1,100))&amp;":")+1,99))
)</f>
        <v>2</v>
      </c>
      <c r="F26" s="7" t="str" cm="1">
        <f t="array" aca="1" ref="F26" ca="1">IF(
SUMPRODUCT(
--(
ISNUMBER(MATCH(
LEFT(
TRIM(MID(SUBSTITUTE($C26,";",REPT(" ",100)),
(ROW($1:$10)-1)*100+1,100)),
FIND(":",TRIM(MID(SUBSTITUTE($C26,";",REPT(" ",100)),
(ROW($1:$10)-1)*100+1,100))&amp;":")-1),
材料产品列表,0))
*
ISNUMBER(--MID(
TRIM(MID(SUBSTITUTE($C26,";",REPT(" ",100)),
(ROW($1:$10)-1)*100+1,100)),
FIND(":",TRIM(MID(SUBSTITUTE($C26,";",REPT(" ",100)),
(ROW($1:$10)-1)*100+1,100))&amp;":")+1,99))
)
)
=
LEN($C26)-LEN(SUBSTITUTE($C26,";",""))+1,
"全部正确",
IFERROR(
INDEX(
TRIM(MID(SUBSTITUTE($C26,";",REPT(" ",100)),
(ROW($1:$10)-1)*100+1,100)),
MATCH(0,
ISNUMBER(MATCH(
LEFT(
TRIM(MID(SUBSTITUTE($C26,";",REPT(" ",100)),
(ROW($1:$10)-1)*100+1,100)),
FIND(":",TRIM(MID(SUBSTITUTE($C26,";",REPT(" ",100)),
(ROW($1:$10)-1)*100+1,100))&amp;":")-1),
材料产品列表,0))
*
ISNUMBER(--MID(
TRIM(MID(SUBSTITUTE($C26,";",REPT(" ",100)),
(ROW($1:$10)-1)*100+1,100)),
FIND(":",TRIM(MID(SUBSTITUTE($C26,";",REPT(" ",100)),
(ROW($1:$10)-1)*100+1,100))&amp;":")+1,99)),
0)
),
"全部正确"
)
)</f>
        <v>全部正确</v>
      </c>
    </row>
    <row r="27" spans="1:6" x14ac:dyDescent="0.3">
      <c r="A27" s="3" t="s">
        <v>154</v>
      </c>
      <c r="B27" s="2">
        <v>1</v>
      </c>
      <c r="C27" s="3" t="s">
        <v>130</v>
      </c>
      <c r="D27" s="2" t="s">
        <v>93</v>
      </c>
      <c r="E27" s="5" cm="1">
        <f t="array" aca="1" ref="E27" ca="1">SUMPRODUCT(
--ISNUMBER(
MATCH(
LEFT(
TRIM(MID(SUBSTITUTE(C27,";",REPT(" ",100)),
(ROW($1:$10)-1)*100+1,100)),
FIND(":",TRIM(MID(SUBSTITUTE(C27,";",REPT(" ",100)),
(ROW($1:$10)-1)*100+1,100))&amp;":")-1),
材料产品列表,0)),
--ISNUMBER(
--MID(
TRIM(MID(SUBSTITUTE(C27,";",REPT(" ",100)),
(ROW($1:$10)-1)*100+1,100)),
FIND(":",TRIM(MID(SUBSTITUTE(C27,";",REPT(" ",100)),
(ROW($1:$10)-1)*100+1,100))&amp;":")+1,99))
)</f>
        <v>2</v>
      </c>
      <c r="F27" s="7" t="str" cm="1">
        <f t="array" aca="1" ref="F27" ca="1">IF(
SUMPRODUCT(
--(
ISNUMBER(MATCH(
LEFT(
TRIM(MID(SUBSTITUTE($C27,";",REPT(" ",100)),
(ROW($1:$10)-1)*100+1,100)),
FIND(":",TRIM(MID(SUBSTITUTE($C27,";",REPT(" ",100)),
(ROW($1:$10)-1)*100+1,100))&amp;":")-1),
材料产品列表,0))
*
ISNUMBER(--MID(
TRIM(MID(SUBSTITUTE($C27,";",REPT(" ",100)),
(ROW($1:$10)-1)*100+1,100)),
FIND(":",TRIM(MID(SUBSTITUTE($C27,";",REPT(" ",100)),
(ROW($1:$10)-1)*100+1,100))&amp;":")+1,99))
)
)
=
LEN($C27)-LEN(SUBSTITUTE($C27,";",""))+1,
"全部正确",
IFERROR(
INDEX(
TRIM(MID(SUBSTITUTE($C27,";",REPT(" ",100)),
(ROW($1:$10)-1)*100+1,100)),
MATCH(0,
ISNUMBER(MATCH(
LEFT(
TRIM(MID(SUBSTITUTE($C27,";",REPT(" ",100)),
(ROW($1:$10)-1)*100+1,100)),
FIND(":",TRIM(MID(SUBSTITUTE($C27,";",REPT(" ",100)),
(ROW($1:$10)-1)*100+1,100))&amp;":")-1),
材料产品列表,0))
*
ISNUMBER(--MID(
TRIM(MID(SUBSTITUTE($C27,";",REPT(" ",100)),
(ROW($1:$10)-1)*100+1,100)),
FIND(":",TRIM(MID(SUBSTITUTE($C27,";",REPT(" ",100)),
(ROW($1:$10)-1)*100+1,100))&amp;":")+1,99)),
0)
),
"全部正确"
)
)</f>
        <v>全部正确</v>
      </c>
    </row>
    <row r="28" spans="1:6" x14ac:dyDescent="0.3">
      <c r="A28" s="3" t="s">
        <v>40</v>
      </c>
      <c r="B28" s="2">
        <v>1</v>
      </c>
      <c r="C28" s="3" t="s">
        <v>131</v>
      </c>
      <c r="D28" s="2" t="s">
        <v>87</v>
      </c>
      <c r="E28" s="5" cm="1">
        <f t="array" aca="1" ref="E28" ca="1">SUMPRODUCT(
--ISNUMBER(
MATCH(
LEFT(
TRIM(MID(SUBSTITUTE(C28,";",REPT(" ",100)),
(ROW($1:$10)-1)*100+1,100)),
FIND(":",TRIM(MID(SUBSTITUTE(C28,";",REPT(" ",100)),
(ROW($1:$10)-1)*100+1,100))&amp;":")-1),
材料产品列表,0)),
--ISNUMBER(
--MID(
TRIM(MID(SUBSTITUTE(C28,";",REPT(" ",100)),
(ROW($1:$10)-1)*100+1,100)),
FIND(":",TRIM(MID(SUBSTITUTE(C28,";",REPT(" ",100)),
(ROW($1:$10)-1)*100+1,100))&amp;":")+1,99))
)</f>
        <v>1</v>
      </c>
      <c r="F28" s="7" t="str" cm="1">
        <f t="array" aca="1" ref="F28" ca="1">IF(
SUMPRODUCT(
--(
ISNUMBER(MATCH(
LEFT(
TRIM(MID(SUBSTITUTE($C28,";",REPT(" ",100)),
(ROW($1:$10)-1)*100+1,100)),
FIND(":",TRIM(MID(SUBSTITUTE($C28,";",REPT(" ",100)),
(ROW($1:$10)-1)*100+1,100))&amp;":")-1),
材料产品列表,0))
*
ISNUMBER(--MID(
TRIM(MID(SUBSTITUTE($C28,";",REPT(" ",100)),
(ROW($1:$10)-1)*100+1,100)),
FIND(":",TRIM(MID(SUBSTITUTE($C28,";",REPT(" ",100)),
(ROW($1:$10)-1)*100+1,100))&amp;":")+1,99))
)
)
=
LEN($C28)-LEN(SUBSTITUTE($C28,";",""))+1,
"全部正确",
IFERROR(
INDEX(
TRIM(MID(SUBSTITUTE($C28,";",REPT(" ",100)),
(ROW($1:$10)-1)*100+1,100)),
MATCH(0,
ISNUMBER(MATCH(
LEFT(
TRIM(MID(SUBSTITUTE($C28,";",REPT(" ",100)),
(ROW($1:$10)-1)*100+1,100)),
FIND(":",TRIM(MID(SUBSTITUTE($C28,";",REPT(" ",100)),
(ROW($1:$10)-1)*100+1,100))&amp;":")-1),
材料产品列表,0))
*
ISNUMBER(--MID(
TRIM(MID(SUBSTITUTE($C28,";",REPT(" ",100)),
(ROW($1:$10)-1)*100+1,100)),
FIND(":",TRIM(MID(SUBSTITUTE($C28,";",REPT(" ",100)),
(ROW($1:$10)-1)*100+1,100))&amp;":")+1,99)),
0)
),
"全部正确"
)
)</f>
        <v>全部正确</v>
      </c>
    </row>
    <row r="29" spans="1:6" x14ac:dyDescent="0.3">
      <c r="A29" s="3" t="s">
        <v>41</v>
      </c>
      <c r="B29" s="2">
        <v>1</v>
      </c>
      <c r="C29" s="3" t="s">
        <v>132</v>
      </c>
      <c r="D29" s="2" t="s">
        <v>87</v>
      </c>
      <c r="E29" s="5" cm="1">
        <f t="array" aca="1" ref="E29" ca="1">SUMPRODUCT(
--ISNUMBER(
MATCH(
LEFT(
TRIM(MID(SUBSTITUTE(C29,";",REPT(" ",100)),
(ROW($1:$10)-1)*100+1,100)),
FIND(":",TRIM(MID(SUBSTITUTE(C29,";",REPT(" ",100)),
(ROW($1:$10)-1)*100+1,100))&amp;":")-1),
材料产品列表,0)),
--ISNUMBER(
--MID(
TRIM(MID(SUBSTITUTE(C29,";",REPT(" ",100)),
(ROW($1:$10)-1)*100+1,100)),
FIND(":",TRIM(MID(SUBSTITUTE(C29,";",REPT(" ",100)),
(ROW($1:$10)-1)*100+1,100))&amp;":")+1,99))
)</f>
        <v>1</v>
      </c>
      <c r="F29" s="7" t="str" cm="1">
        <f t="array" aca="1" ref="F29" ca="1">IF(
SUMPRODUCT(
--(
ISNUMBER(MATCH(
LEFT(
TRIM(MID(SUBSTITUTE($C29,";",REPT(" ",100)),
(ROW($1:$10)-1)*100+1,100)),
FIND(":",TRIM(MID(SUBSTITUTE($C29,";",REPT(" ",100)),
(ROW($1:$10)-1)*100+1,100))&amp;":")-1),
材料产品列表,0))
*
ISNUMBER(--MID(
TRIM(MID(SUBSTITUTE($C29,";",REPT(" ",100)),
(ROW($1:$10)-1)*100+1,100)),
FIND(":",TRIM(MID(SUBSTITUTE($C29,";",REPT(" ",100)),
(ROW($1:$10)-1)*100+1,100))&amp;":")+1,99))
)
)
=
LEN($C29)-LEN(SUBSTITUTE($C29,";",""))+1,
"全部正确",
IFERROR(
INDEX(
TRIM(MID(SUBSTITUTE($C29,";",REPT(" ",100)),
(ROW($1:$10)-1)*100+1,100)),
MATCH(0,
ISNUMBER(MATCH(
LEFT(
TRIM(MID(SUBSTITUTE($C29,";",REPT(" ",100)),
(ROW($1:$10)-1)*100+1,100)),
FIND(":",TRIM(MID(SUBSTITUTE($C29,";",REPT(" ",100)),
(ROW($1:$10)-1)*100+1,100))&amp;":")-1),
材料产品列表,0))
*
ISNUMBER(--MID(
TRIM(MID(SUBSTITUTE($C29,";",REPT(" ",100)),
(ROW($1:$10)-1)*100+1,100)),
FIND(":",TRIM(MID(SUBSTITUTE($C29,";",REPT(" ",100)),
(ROW($1:$10)-1)*100+1,100))&amp;":")+1,99)),
0)
),
"全部正确"
)
)</f>
        <v>全部正确</v>
      </c>
    </row>
    <row r="30" spans="1:6" x14ac:dyDescent="0.3">
      <c r="A30" s="3" t="s">
        <v>42</v>
      </c>
      <c r="B30" s="2">
        <v>1</v>
      </c>
      <c r="C30" s="3" t="s">
        <v>133</v>
      </c>
      <c r="D30" s="2" t="s">
        <v>87</v>
      </c>
      <c r="E30" s="5" cm="1">
        <f t="array" aca="1" ref="E30" ca="1">SUMPRODUCT(
--ISNUMBER(
MATCH(
LEFT(
TRIM(MID(SUBSTITUTE(C30,";",REPT(" ",100)),
(ROW($1:$10)-1)*100+1,100)),
FIND(":",TRIM(MID(SUBSTITUTE(C30,";",REPT(" ",100)),
(ROW($1:$10)-1)*100+1,100))&amp;":")-1),
材料产品列表,0)),
--ISNUMBER(
--MID(
TRIM(MID(SUBSTITUTE(C30,";",REPT(" ",100)),
(ROW($1:$10)-1)*100+1,100)),
FIND(":",TRIM(MID(SUBSTITUTE(C30,";",REPT(" ",100)),
(ROW($1:$10)-1)*100+1,100))&amp;":")+1,99))
)</f>
        <v>1</v>
      </c>
      <c r="F30" s="7" t="str" cm="1">
        <f t="array" aca="1" ref="F30" ca="1">IF(
SUMPRODUCT(
--(
ISNUMBER(MATCH(
LEFT(
TRIM(MID(SUBSTITUTE($C30,";",REPT(" ",100)),
(ROW($1:$10)-1)*100+1,100)),
FIND(":",TRIM(MID(SUBSTITUTE($C30,";",REPT(" ",100)),
(ROW($1:$10)-1)*100+1,100))&amp;":")-1),
材料产品列表,0))
*
ISNUMBER(--MID(
TRIM(MID(SUBSTITUTE($C30,";",REPT(" ",100)),
(ROW($1:$10)-1)*100+1,100)),
FIND(":",TRIM(MID(SUBSTITUTE($C30,";",REPT(" ",100)),
(ROW($1:$10)-1)*100+1,100))&amp;":")+1,99))
)
)
=
LEN($C30)-LEN(SUBSTITUTE($C30,";",""))+1,
"全部正确",
IFERROR(
INDEX(
TRIM(MID(SUBSTITUTE($C30,";",REPT(" ",100)),
(ROW($1:$10)-1)*100+1,100)),
MATCH(0,
ISNUMBER(MATCH(
LEFT(
TRIM(MID(SUBSTITUTE($C30,";",REPT(" ",100)),
(ROW($1:$10)-1)*100+1,100)),
FIND(":",TRIM(MID(SUBSTITUTE($C30,";",REPT(" ",100)),
(ROW($1:$10)-1)*100+1,100))&amp;":")-1),
材料产品列表,0))
*
ISNUMBER(--MID(
TRIM(MID(SUBSTITUTE($C30,";",REPT(" ",100)),
(ROW($1:$10)-1)*100+1,100)),
FIND(":",TRIM(MID(SUBSTITUTE($C30,";",REPT(" ",100)),
(ROW($1:$10)-1)*100+1,100))&amp;":")+1,99)),
0)
),
"全部正确"
)
)</f>
        <v>全部正确</v>
      </c>
    </row>
    <row r="31" spans="1:6" x14ac:dyDescent="0.3">
      <c r="A31" s="3" t="s">
        <v>43</v>
      </c>
      <c r="B31" s="2">
        <v>1</v>
      </c>
      <c r="C31" s="3" t="s">
        <v>134</v>
      </c>
      <c r="D31" s="2" t="s">
        <v>87</v>
      </c>
      <c r="E31" s="5" cm="1">
        <f t="array" aca="1" ref="E31" ca="1">SUMPRODUCT(
--ISNUMBER(
MATCH(
LEFT(
TRIM(MID(SUBSTITUTE(C31,";",REPT(" ",100)),
(ROW($1:$10)-1)*100+1,100)),
FIND(":",TRIM(MID(SUBSTITUTE(C31,";",REPT(" ",100)),
(ROW($1:$10)-1)*100+1,100))&amp;":")-1),
材料产品列表,0)),
--ISNUMBER(
--MID(
TRIM(MID(SUBSTITUTE(C31,";",REPT(" ",100)),
(ROW($1:$10)-1)*100+1,100)),
FIND(":",TRIM(MID(SUBSTITUTE(C31,";",REPT(" ",100)),
(ROW($1:$10)-1)*100+1,100))&amp;":")+1,99))
)</f>
        <v>1</v>
      </c>
      <c r="F31" s="7" t="str" cm="1">
        <f t="array" aca="1" ref="F31" ca="1">IF(
SUMPRODUCT(
--(
ISNUMBER(MATCH(
LEFT(
TRIM(MID(SUBSTITUTE($C31,";",REPT(" ",100)),
(ROW($1:$10)-1)*100+1,100)),
FIND(":",TRIM(MID(SUBSTITUTE($C31,";",REPT(" ",100)),
(ROW($1:$10)-1)*100+1,100))&amp;":")-1),
材料产品列表,0))
*
ISNUMBER(--MID(
TRIM(MID(SUBSTITUTE($C31,";",REPT(" ",100)),
(ROW($1:$10)-1)*100+1,100)),
FIND(":",TRIM(MID(SUBSTITUTE($C31,";",REPT(" ",100)),
(ROW($1:$10)-1)*100+1,100))&amp;":")+1,99))
)
)
=
LEN($C31)-LEN(SUBSTITUTE($C31,";",""))+1,
"全部正确",
IFERROR(
INDEX(
TRIM(MID(SUBSTITUTE($C31,";",REPT(" ",100)),
(ROW($1:$10)-1)*100+1,100)),
MATCH(0,
ISNUMBER(MATCH(
LEFT(
TRIM(MID(SUBSTITUTE($C31,";",REPT(" ",100)),
(ROW($1:$10)-1)*100+1,100)),
FIND(":",TRIM(MID(SUBSTITUTE($C31,";",REPT(" ",100)),
(ROW($1:$10)-1)*100+1,100))&amp;":")-1),
材料产品列表,0))
*
ISNUMBER(--MID(
TRIM(MID(SUBSTITUTE($C31,";",REPT(" ",100)),
(ROW($1:$10)-1)*100+1,100)),
FIND(":",TRIM(MID(SUBSTITUTE($C31,";",REPT(" ",100)),
(ROW($1:$10)-1)*100+1,100))&amp;":")+1,99)),
0)
),
"全部正确"
)
)</f>
        <v>全部正确</v>
      </c>
    </row>
    <row r="32" spans="1:6" x14ac:dyDescent="0.3">
      <c r="A32" s="3" t="s">
        <v>44</v>
      </c>
      <c r="B32" s="2">
        <v>1</v>
      </c>
      <c r="C32" s="3" t="s">
        <v>121</v>
      </c>
      <c r="D32" s="2" t="s">
        <v>86</v>
      </c>
      <c r="E32" s="5" cm="1">
        <f t="array" aca="1" ref="E32" ca="1">SUMPRODUCT(
--ISNUMBER(
MATCH(
LEFT(
TRIM(MID(SUBSTITUTE(C32,";",REPT(" ",100)),
(ROW($1:$10)-1)*100+1,100)),
FIND(":",TRIM(MID(SUBSTITUTE(C32,";",REPT(" ",100)),
(ROW($1:$10)-1)*100+1,100))&amp;":")-1),
材料产品列表,0)),
--ISNUMBER(
--MID(
TRIM(MID(SUBSTITUTE(C32,";",REPT(" ",100)),
(ROW($1:$10)-1)*100+1,100)),
FIND(":",TRIM(MID(SUBSTITUTE(C32,";",REPT(" ",100)),
(ROW($1:$10)-1)*100+1,100))&amp;":")+1,99))
)</f>
        <v>1</v>
      </c>
      <c r="F32" s="7" t="str" cm="1">
        <f t="array" aca="1" ref="F32" ca="1">IF(
SUMPRODUCT(
--(
ISNUMBER(MATCH(
LEFT(
TRIM(MID(SUBSTITUTE($C32,";",REPT(" ",100)),
(ROW($1:$10)-1)*100+1,100)),
FIND(":",TRIM(MID(SUBSTITUTE($C32,";",REPT(" ",100)),
(ROW($1:$10)-1)*100+1,100))&amp;":")-1),
材料产品列表,0))
*
ISNUMBER(--MID(
TRIM(MID(SUBSTITUTE($C32,";",REPT(" ",100)),
(ROW($1:$10)-1)*100+1,100)),
FIND(":",TRIM(MID(SUBSTITUTE($C32,";",REPT(" ",100)),
(ROW($1:$10)-1)*100+1,100))&amp;":")+1,99))
)
)
=
LEN($C32)-LEN(SUBSTITUTE($C32,";",""))+1,
"全部正确",
IFERROR(
INDEX(
TRIM(MID(SUBSTITUTE($C32,";",REPT(" ",100)),
(ROW($1:$10)-1)*100+1,100)),
MATCH(0,
ISNUMBER(MATCH(
LEFT(
TRIM(MID(SUBSTITUTE($C32,";",REPT(" ",100)),
(ROW($1:$10)-1)*100+1,100)),
FIND(":",TRIM(MID(SUBSTITUTE($C32,";",REPT(" ",100)),
(ROW($1:$10)-1)*100+1,100))&amp;":")-1),
材料产品列表,0))
*
ISNUMBER(--MID(
TRIM(MID(SUBSTITUTE($C32,";",REPT(" ",100)),
(ROW($1:$10)-1)*100+1,100)),
FIND(":",TRIM(MID(SUBSTITUTE($C32,";",REPT(" ",100)),
(ROW($1:$10)-1)*100+1,100))&amp;":")+1,99)),
0)
),
"全部正确"
)
)</f>
        <v>全部正确</v>
      </c>
    </row>
    <row r="33" spans="1:6" x14ac:dyDescent="0.3">
      <c r="A33" s="3" t="s">
        <v>45</v>
      </c>
      <c r="B33" s="2">
        <v>1</v>
      </c>
      <c r="C33" t="s">
        <v>122</v>
      </c>
      <c r="D33" s="2" t="s">
        <v>86</v>
      </c>
      <c r="E33" s="5" cm="1">
        <f t="array" aca="1" ref="E33" ca="1">SUMPRODUCT(
--ISNUMBER(
MATCH(
LEFT(
TRIM(MID(SUBSTITUTE(C33,";",REPT(" ",100)),
(ROW($1:$10)-1)*100+1,100)),
FIND(":",TRIM(MID(SUBSTITUTE(C33,";",REPT(" ",100)),
(ROW($1:$10)-1)*100+1,100))&amp;":")-1),
材料产品列表,0)),
--ISNUMBER(
--MID(
TRIM(MID(SUBSTITUTE(C33,";",REPT(" ",100)),
(ROW($1:$10)-1)*100+1,100)),
FIND(":",TRIM(MID(SUBSTITUTE(C33,";",REPT(" ",100)),
(ROW($1:$10)-1)*100+1,100))&amp;":")+1,99))
)</f>
        <v>1</v>
      </c>
      <c r="F33" s="7" t="str" cm="1">
        <f t="array" aca="1" ref="F33" ca="1">IF(
SUMPRODUCT(
--(
ISNUMBER(MATCH(
LEFT(
TRIM(MID(SUBSTITUTE($C33,";",REPT(" ",100)),
(ROW($1:$10)-1)*100+1,100)),
FIND(":",TRIM(MID(SUBSTITUTE($C33,";",REPT(" ",100)),
(ROW($1:$10)-1)*100+1,100))&amp;":")-1),
材料产品列表,0))
*
ISNUMBER(--MID(
TRIM(MID(SUBSTITUTE($C33,";",REPT(" ",100)),
(ROW($1:$10)-1)*100+1,100)),
FIND(":",TRIM(MID(SUBSTITUTE($C33,";",REPT(" ",100)),
(ROW($1:$10)-1)*100+1,100))&amp;":")+1,99))
)
)
=
LEN($C33)-LEN(SUBSTITUTE($C33,";",""))+1,
"全部正确",
IFERROR(
INDEX(
TRIM(MID(SUBSTITUTE($C33,";",REPT(" ",100)),
(ROW($1:$10)-1)*100+1,100)),
MATCH(0,
ISNUMBER(MATCH(
LEFT(
TRIM(MID(SUBSTITUTE($C33,";",REPT(" ",100)),
(ROW($1:$10)-1)*100+1,100)),
FIND(":",TRIM(MID(SUBSTITUTE($C33,";",REPT(" ",100)),
(ROW($1:$10)-1)*100+1,100))&amp;":")-1),
材料产品列表,0))
*
ISNUMBER(--MID(
TRIM(MID(SUBSTITUTE($C33,";",REPT(" ",100)),
(ROW($1:$10)-1)*100+1,100)),
FIND(":",TRIM(MID(SUBSTITUTE($C33,";",REPT(" ",100)),
(ROW($1:$10)-1)*100+1,100))&amp;":")+1,99)),
0)
),
"全部正确"
)
)</f>
        <v>全部正确</v>
      </c>
    </row>
    <row r="34" spans="1:6" x14ac:dyDescent="0.3">
      <c r="A34" s="3" t="s">
        <v>46</v>
      </c>
      <c r="B34" s="2">
        <v>1</v>
      </c>
      <c r="C34" s="3" t="s">
        <v>135</v>
      </c>
      <c r="D34" s="2" t="s">
        <v>86</v>
      </c>
      <c r="E34" s="5" cm="1">
        <f t="array" aca="1" ref="E34" ca="1">SUMPRODUCT(
--ISNUMBER(
MATCH(
LEFT(
TRIM(MID(SUBSTITUTE(C34,";",REPT(" ",100)),
(ROW($1:$10)-1)*100+1,100)),
FIND(":",TRIM(MID(SUBSTITUTE(C34,";",REPT(" ",100)),
(ROW($1:$10)-1)*100+1,100))&amp;":")-1),
材料产品列表,0)),
--ISNUMBER(
--MID(
TRIM(MID(SUBSTITUTE(C34,";",REPT(" ",100)),
(ROW($1:$10)-1)*100+1,100)),
FIND(":",TRIM(MID(SUBSTITUTE(C34,";",REPT(" ",100)),
(ROW($1:$10)-1)*100+1,100))&amp;":")+1,99))
)</f>
        <v>1</v>
      </c>
      <c r="F34" s="7" t="str" cm="1">
        <f t="array" aca="1" ref="F34" ca="1">IF(
SUMPRODUCT(
--(
ISNUMBER(MATCH(
LEFT(
TRIM(MID(SUBSTITUTE($C34,";",REPT(" ",100)),
(ROW($1:$10)-1)*100+1,100)),
FIND(":",TRIM(MID(SUBSTITUTE($C34,";",REPT(" ",100)),
(ROW($1:$10)-1)*100+1,100))&amp;":")-1),
材料产品列表,0))
*
ISNUMBER(--MID(
TRIM(MID(SUBSTITUTE($C34,";",REPT(" ",100)),
(ROW($1:$10)-1)*100+1,100)),
FIND(":",TRIM(MID(SUBSTITUTE($C34,";",REPT(" ",100)),
(ROW($1:$10)-1)*100+1,100))&amp;":")+1,99))
)
)
=
LEN($C34)-LEN(SUBSTITUTE($C34,";",""))+1,
"全部正确",
IFERROR(
INDEX(
TRIM(MID(SUBSTITUTE($C34,";",REPT(" ",100)),
(ROW($1:$10)-1)*100+1,100)),
MATCH(0,
ISNUMBER(MATCH(
LEFT(
TRIM(MID(SUBSTITUTE($C34,";",REPT(" ",100)),
(ROW($1:$10)-1)*100+1,100)),
FIND(":",TRIM(MID(SUBSTITUTE($C34,";",REPT(" ",100)),
(ROW($1:$10)-1)*100+1,100))&amp;":")-1),
材料产品列表,0))
*
ISNUMBER(--MID(
TRIM(MID(SUBSTITUTE($C34,";",REPT(" ",100)),
(ROW($1:$10)-1)*100+1,100)),
FIND(":",TRIM(MID(SUBSTITUTE($C34,";",REPT(" ",100)),
(ROW($1:$10)-1)*100+1,100))&amp;":")+1,99)),
0)
),
"全部正确"
)
)</f>
        <v>全部正确</v>
      </c>
    </row>
    <row r="35" spans="1:6" x14ac:dyDescent="0.3">
      <c r="A35" s="3" t="s">
        <v>47</v>
      </c>
      <c r="B35" s="2">
        <v>1</v>
      </c>
      <c r="C35" s="3" t="s">
        <v>136</v>
      </c>
      <c r="D35" s="2" t="s">
        <v>86</v>
      </c>
      <c r="E35" s="5" cm="1">
        <f t="array" aca="1" ref="E35" ca="1">SUMPRODUCT(
--ISNUMBER(
MATCH(
LEFT(
TRIM(MID(SUBSTITUTE(C35,";",REPT(" ",100)),
(ROW($1:$10)-1)*100+1,100)),
FIND(":",TRIM(MID(SUBSTITUTE(C35,";",REPT(" ",100)),
(ROW($1:$10)-1)*100+1,100))&amp;":")-1),
材料产品列表,0)),
--ISNUMBER(
--MID(
TRIM(MID(SUBSTITUTE(C35,";",REPT(" ",100)),
(ROW($1:$10)-1)*100+1,100)),
FIND(":",TRIM(MID(SUBSTITUTE(C35,";",REPT(" ",100)),
(ROW($1:$10)-1)*100+1,100))&amp;":")+1,99))
)</f>
        <v>1</v>
      </c>
      <c r="F35" s="7" t="str" cm="1">
        <f t="array" aca="1" ref="F35" ca="1">IF(
SUMPRODUCT(
--(
ISNUMBER(MATCH(
LEFT(
TRIM(MID(SUBSTITUTE($C35,";",REPT(" ",100)),
(ROW($1:$10)-1)*100+1,100)),
FIND(":",TRIM(MID(SUBSTITUTE($C35,";",REPT(" ",100)),
(ROW($1:$10)-1)*100+1,100))&amp;":")-1),
材料产品列表,0))
*
ISNUMBER(--MID(
TRIM(MID(SUBSTITUTE($C35,";",REPT(" ",100)),
(ROW($1:$10)-1)*100+1,100)),
FIND(":",TRIM(MID(SUBSTITUTE($C35,";",REPT(" ",100)),
(ROW($1:$10)-1)*100+1,100))&amp;":")+1,99))
)
)
=
LEN($C35)-LEN(SUBSTITUTE($C35,";",""))+1,
"全部正确",
IFERROR(
INDEX(
TRIM(MID(SUBSTITUTE($C35,";",REPT(" ",100)),
(ROW($1:$10)-1)*100+1,100)),
MATCH(0,
ISNUMBER(MATCH(
LEFT(
TRIM(MID(SUBSTITUTE($C35,";",REPT(" ",100)),
(ROW($1:$10)-1)*100+1,100)),
FIND(":",TRIM(MID(SUBSTITUTE($C35,";",REPT(" ",100)),
(ROW($1:$10)-1)*100+1,100))&amp;":")-1),
材料产品列表,0))
*
ISNUMBER(--MID(
TRIM(MID(SUBSTITUTE($C35,";",REPT(" ",100)),
(ROW($1:$10)-1)*100+1,100)),
FIND(":",TRIM(MID(SUBSTITUTE($C35,";",REPT(" ",100)),
(ROW($1:$10)-1)*100+1,100))&amp;":")+1,99)),
0)
),
"全部正确"
)
)</f>
        <v>全部正确</v>
      </c>
    </row>
    <row r="36" spans="1:6" x14ac:dyDescent="0.3">
      <c r="A36" s="3" t="s">
        <v>138</v>
      </c>
      <c r="B36" s="2">
        <v>1</v>
      </c>
      <c r="C36" s="3" t="s">
        <v>137</v>
      </c>
      <c r="D36" s="2" t="s">
        <v>90</v>
      </c>
      <c r="E36" s="5" cm="1">
        <f t="array" aca="1" ref="E36" ca="1">SUMPRODUCT(
--ISNUMBER(
MATCH(
LEFT(
TRIM(MID(SUBSTITUTE(C36,";",REPT(" ",100)),
(ROW($1:$10)-1)*100+1,100)),
FIND(":",TRIM(MID(SUBSTITUTE(C36,";",REPT(" ",100)),
(ROW($1:$10)-1)*100+1,100))&amp;":")-1),
材料产品列表,0)),
--ISNUMBER(
--MID(
TRIM(MID(SUBSTITUTE(C36,";",REPT(" ",100)),
(ROW($1:$10)-1)*100+1,100)),
FIND(":",TRIM(MID(SUBSTITUTE(C36,";",REPT(" ",100)),
(ROW($1:$10)-1)*100+1,100))&amp;":")+1,99))
)</f>
        <v>2</v>
      </c>
      <c r="F36" s="7" t="str" cm="1">
        <f t="array" aca="1" ref="F36" ca="1">IF(
SUMPRODUCT(
--(
ISNUMBER(MATCH(
LEFT(
TRIM(MID(SUBSTITUTE($C36,";",REPT(" ",100)),
(ROW($1:$10)-1)*100+1,100)),
FIND(":",TRIM(MID(SUBSTITUTE($C36,";",REPT(" ",100)),
(ROW($1:$10)-1)*100+1,100))&amp;":")-1),
材料产品列表,0))
*
ISNUMBER(--MID(
TRIM(MID(SUBSTITUTE($C36,";",REPT(" ",100)),
(ROW($1:$10)-1)*100+1,100)),
FIND(":",TRIM(MID(SUBSTITUTE($C36,";",REPT(" ",100)),
(ROW($1:$10)-1)*100+1,100))&amp;":")+1,99))
)
)
=
LEN($C36)-LEN(SUBSTITUTE($C36,";",""))+1,
"全部正确",
IFERROR(
INDEX(
TRIM(MID(SUBSTITUTE($C36,";",REPT(" ",100)),
(ROW($1:$10)-1)*100+1,100)),
MATCH(0,
ISNUMBER(MATCH(
LEFT(
TRIM(MID(SUBSTITUTE($C36,";",REPT(" ",100)),
(ROW($1:$10)-1)*100+1,100)),
FIND(":",TRIM(MID(SUBSTITUTE($C36,";",REPT(" ",100)),
(ROW($1:$10)-1)*100+1,100))&amp;":")-1),
材料产品列表,0))
*
ISNUMBER(--MID(
TRIM(MID(SUBSTITUTE($C36,";",REPT(" ",100)),
(ROW($1:$10)-1)*100+1,100)),
FIND(":",TRIM(MID(SUBSTITUTE($C36,";",REPT(" ",100)),
(ROW($1:$10)-1)*100+1,100))&amp;":")+1,99)),
0)
),
"全部正确"
)
)</f>
        <v>全部正确</v>
      </c>
    </row>
    <row r="37" spans="1:6" x14ac:dyDescent="0.3">
      <c r="A37" s="3" t="s">
        <v>139</v>
      </c>
      <c r="B37" s="2">
        <v>1</v>
      </c>
      <c r="C37" s="3" t="s">
        <v>155</v>
      </c>
      <c r="D37" s="2" t="s">
        <v>90</v>
      </c>
      <c r="E37" s="5" cm="1">
        <f t="array" aca="1" ref="E37" ca="1">SUMPRODUCT(
--ISNUMBER(
MATCH(
LEFT(
TRIM(MID(SUBSTITUTE(C37,";",REPT(" ",100)),
(ROW($1:$10)-1)*100+1,100)),
FIND(":",TRIM(MID(SUBSTITUTE(C37,";",REPT(" ",100)),
(ROW($1:$10)-1)*100+1,100))&amp;":")-1),
材料产品列表,0)),
--ISNUMBER(
--MID(
TRIM(MID(SUBSTITUTE(C37,";",REPT(" ",100)),
(ROW($1:$10)-1)*100+1,100)),
FIND(":",TRIM(MID(SUBSTITUTE(C37,";",REPT(" ",100)),
(ROW($1:$10)-1)*100+1,100))&amp;":")+1,99))
)</f>
        <v>2</v>
      </c>
      <c r="F37" s="7" t="str" cm="1">
        <f t="array" aca="1" ref="F37" ca="1">IF(
SUMPRODUCT(
--(
ISNUMBER(MATCH(
LEFT(
TRIM(MID(SUBSTITUTE($C37,";",REPT(" ",100)),
(ROW($1:$10)-1)*100+1,100)),
FIND(":",TRIM(MID(SUBSTITUTE($C37,";",REPT(" ",100)),
(ROW($1:$10)-1)*100+1,100))&amp;":")-1),
材料产品列表,0))
*
ISNUMBER(--MID(
TRIM(MID(SUBSTITUTE($C37,";",REPT(" ",100)),
(ROW($1:$10)-1)*100+1,100)),
FIND(":",TRIM(MID(SUBSTITUTE($C37,";",REPT(" ",100)),
(ROW($1:$10)-1)*100+1,100))&amp;":")+1,99))
)
)
=
LEN($C37)-LEN(SUBSTITUTE($C37,";",""))+1,
"全部正确",
IFERROR(
INDEX(
TRIM(MID(SUBSTITUTE($C37,";",REPT(" ",100)),
(ROW($1:$10)-1)*100+1,100)),
MATCH(0,
ISNUMBER(MATCH(
LEFT(
TRIM(MID(SUBSTITUTE($C37,";",REPT(" ",100)),
(ROW($1:$10)-1)*100+1,100)),
FIND(":",TRIM(MID(SUBSTITUTE($C37,";",REPT(" ",100)),
(ROW($1:$10)-1)*100+1,100))&amp;":")-1),
材料产品列表,0))
*
ISNUMBER(--MID(
TRIM(MID(SUBSTITUTE($C37,";",REPT(" ",100)),
(ROW($1:$10)-1)*100+1,100)),
FIND(":",TRIM(MID(SUBSTITUTE($C37,";",REPT(" ",100)),
(ROW($1:$10)-1)*100+1,100))&amp;":")+1,99)),
0)
),
"全部正确"
)
)</f>
        <v>全部正确</v>
      </c>
    </row>
    <row r="38" spans="1:6" x14ac:dyDescent="0.3">
      <c r="A38" s="3" t="s">
        <v>140</v>
      </c>
      <c r="B38" s="2">
        <v>1</v>
      </c>
      <c r="C38" s="3" t="s">
        <v>156</v>
      </c>
      <c r="D38" s="2" t="s">
        <v>90</v>
      </c>
      <c r="E38" s="5" cm="1">
        <f t="array" aca="1" ref="E38" ca="1">SUMPRODUCT(
--ISNUMBER(
MATCH(
LEFT(
TRIM(MID(SUBSTITUTE(C38,";",REPT(" ",100)),
(ROW($1:$10)-1)*100+1,100)),
FIND(":",TRIM(MID(SUBSTITUTE(C38,";",REPT(" ",100)),
(ROW($1:$10)-1)*100+1,100))&amp;":")-1),
材料产品列表,0)),
--ISNUMBER(
--MID(
TRIM(MID(SUBSTITUTE(C38,";",REPT(" ",100)),
(ROW($1:$10)-1)*100+1,100)),
FIND(":",TRIM(MID(SUBSTITUTE(C38,";",REPT(" ",100)),
(ROW($1:$10)-1)*100+1,100))&amp;":")+1,99))
)</f>
        <v>2</v>
      </c>
      <c r="F38" s="7" t="str" cm="1">
        <f t="array" aca="1" ref="F38" ca="1">IF(
SUMPRODUCT(
--(
ISNUMBER(MATCH(
LEFT(
TRIM(MID(SUBSTITUTE($C38,";",REPT(" ",100)),
(ROW($1:$10)-1)*100+1,100)),
FIND(":",TRIM(MID(SUBSTITUTE($C38,";",REPT(" ",100)),
(ROW($1:$10)-1)*100+1,100))&amp;":")-1),
材料产品列表,0))
*
ISNUMBER(--MID(
TRIM(MID(SUBSTITUTE($C38,";",REPT(" ",100)),
(ROW($1:$10)-1)*100+1,100)),
FIND(":",TRIM(MID(SUBSTITUTE($C38,";",REPT(" ",100)),
(ROW($1:$10)-1)*100+1,100))&amp;":")+1,99))
)
)
=
LEN($C38)-LEN(SUBSTITUTE($C38,";",""))+1,
"全部正确",
IFERROR(
INDEX(
TRIM(MID(SUBSTITUTE($C38,";",REPT(" ",100)),
(ROW($1:$10)-1)*100+1,100)),
MATCH(0,
ISNUMBER(MATCH(
LEFT(
TRIM(MID(SUBSTITUTE($C38,";",REPT(" ",100)),
(ROW($1:$10)-1)*100+1,100)),
FIND(":",TRIM(MID(SUBSTITUTE($C38,";",REPT(" ",100)),
(ROW($1:$10)-1)*100+1,100))&amp;":")-1),
材料产品列表,0))
*
ISNUMBER(--MID(
TRIM(MID(SUBSTITUTE($C38,";",REPT(" ",100)),
(ROW($1:$10)-1)*100+1,100)),
FIND(":",TRIM(MID(SUBSTITUTE($C38,";",REPT(" ",100)),
(ROW($1:$10)-1)*100+1,100))&amp;":")+1,99)),
0)
),
"全部正确"
)
)</f>
        <v>全部正确</v>
      </c>
    </row>
    <row r="39" spans="1:6" x14ac:dyDescent="0.3">
      <c r="A39" s="3" t="s">
        <v>141</v>
      </c>
      <c r="B39" s="2">
        <v>1</v>
      </c>
      <c r="C39" s="3" t="s">
        <v>157</v>
      </c>
      <c r="D39" s="2" t="s">
        <v>90</v>
      </c>
      <c r="E39" s="5" cm="1">
        <f t="array" aca="1" ref="E39" ca="1">SUMPRODUCT(
--ISNUMBER(
MATCH(
LEFT(
TRIM(MID(SUBSTITUTE(C39,";",REPT(" ",100)),
(ROW($1:$10)-1)*100+1,100)),
FIND(":",TRIM(MID(SUBSTITUTE(C39,";",REPT(" ",100)),
(ROW($1:$10)-1)*100+1,100))&amp;":")-1),
材料产品列表,0)),
--ISNUMBER(
--MID(
TRIM(MID(SUBSTITUTE(C39,";",REPT(" ",100)),
(ROW($1:$10)-1)*100+1,100)),
FIND(":",TRIM(MID(SUBSTITUTE(C39,";",REPT(" ",100)),
(ROW($1:$10)-1)*100+1,100))&amp;":")+1,99))
)</f>
        <v>2</v>
      </c>
      <c r="F39" s="7" t="str" cm="1">
        <f t="array" aca="1" ref="F39" ca="1">IF(
SUMPRODUCT(
--(
ISNUMBER(MATCH(
LEFT(
TRIM(MID(SUBSTITUTE($C39,";",REPT(" ",100)),
(ROW($1:$10)-1)*100+1,100)),
FIND(":",TRIM(MID(SUBSTITUTE($C39,";",REPT(" ",100)),
(ROW($1:$10)-1)*100+1,100))&amp;":")-1),
材料产品列表,0))
*
ISNUMBER(--MID(
TRIM(MID(SUBSTITUTE($C39,";",REPT(" ",100)),
(ROW($1:$10)-1)*100+1,100)),
FIND(":",TRIM(MID(SUBSTITUTE($C39,";",REPT(" ",100)),
(ROW($1:$10)-1)*100+1,100))&amp;":")+1,99))
)
)
=
LEN($C39)-LEN(SUBSTITUTE($C39,";",""))+1,
"全部正确",
IFERROR(
INDEX(
TRIM(MID(SUBSTITUTE($C39,";",REPT(" ",100)),
(ROW($1:$10)-1)*100+1,100)),
MATCH(0,
ISNUMBER(MATCH(
LEFT(
TRIM(MID(SUBSTITUTE($C39,";",REPT(" ",100)),
(ROW($1:$10)-1)*100+1,100)),
FIND(":",TRIM(MID(SUBSTITUTE($C39,";",REPT(" ",100)),
(ROW($1:$10)-1)*100+1,100))&amp;":")-1),
材料产品列表,0))
*
ISNUMBER(--MID(
TRIM(MID(SUBSTITUTE($C39,";",REPT(" ",100)),
(ROW($1:$10)-1)*100+1,100)),
FIND(":",TRIM(MID(SUBSTITUTE($C39,";",REPT(" ",100)),
(ROW($1:$10)-1)*100+1,100))&amp;":")+1,99)),
0)
),
"全部正确"
)
)</f>
        <v>全部正确</v>
      </c>
    </row>
    <row r="40" spans="1:6" x14ac:dyDescent="0.3">
      <c r="A40" s="3" t="s">
        <v>142</v>
      </c>
      <c r="B40" s="2">
        <v>1</v>
      </c>
      <c r="C40" s="3" t="s">
        <v>158</v>
      </c>
      <c r="D40" s="2" t="s">
        <v>92</v>
      </c>
      <c r="E40" s="5" cm="1">
        <f t="array" aca="1" ref="E40" ca="1">SUMPRODUCT(
--ISNUMBER(
MATCH(
LEFT(
TRIM(MID(SUBSTITUTE(C40,";",REPT(" ",100)),
(ROW($1:$10)-1)*100+1,100)),
FIND(":",TRIM(MID(SUBSTITUTE(C40,";",REPT(" ",100)),
(ROW($1:$10)-1)*100+1,100))&amp;":")-1),
材料产品列表,0)),
--ISNUMBER(
--MID(
TRIM(MID(SUBSTITUTE(C40,";",REPT(" ",100)),
(ROW($1:$10)-1)*100+1,100)),
FIND(":",TRIM(MID(SUBSTITUTE(C40,";",REPT(" ",100)),
(ROW($1:$10)-1)*100+1,100))&amp;":")+1,99))
)</f>
        <v>2</v>
      </c>
      <c r="F40" s="7" t="str" cm="1">
        <f t="array" aca="1" ref="F40" ca="1">IF(
SUMPRODUCT(
--(
ISNUMBER(MATCH(
LEFT(
TRIM(MID(SUBSTITUTE($C40,";",REPT(" ",100)),
(ROW($1:$10)-1)*100+1,100)),
FIND(":",TRIM(MID(SUBSTITUTE($C40,";",REPT(" ",100)),
(ROW($1:$10)-1)*100+1,100))&amp;":")-1),
材料产品列表,0))
*
ISNUMBER(--MID(
TRIM(MID(SUBSTITUTE($C40,";",REPT(" ",100)),
(ROW($1:$10)-1)*100+1,100)),
FIND(":",TRIM(MID(SUBSTITUTE($C40,";",REPT(" ",100)),
(ROW($1:$10)-1)*100+1,100))&amp;":")+1,99))
)
)
=
LEN($C40)-LEN(SUBSTITUTE($C40,";",""))+1,
"全部正确",
IFERROR(
INDEX(
TRIM(MID(SUBSTITUTE($C40,";",REPT(" ",100)),
(ROW($1:$10)-1)*100+1,100)),
MATCH(0,
ISNUMBER(MATCH(
LEFT(
TRIM(MID(SUBSTITUTE($C40,";",REPT(" ",100)),
(ROW($1:$10)-1)*100+1,100)),
FIND(":",TRIM(MID(SUBSTITUTE($C40,";",REPT(" ",100)),
(ROW($1:$10)-1)*100+1,100))&amp;":")-1),
材料产品列表,0))
*
ISNUMBER(--MID(
TRIM(MID(SUBSTITUTE($C40,";",REPT(" ",100)),
(ROW($1:$10)-1)*100+1,100)),
FIND(":",TRIM(MID(SUBSTITUTE($C40,";",REPT(" ",100)),
(ROW($1:$10)-1)*100+1,100))&amp;":")+1,99)),
0)
),
"全部正确"
)
)</f>
        <v>全部正确</v>
      </c>
    </row>
    <row r="41" spans="1:6" x14ac:dyDescent="0.3">
      <c r="A41" s="3" t="s">
        <v>143</v>
      </c>
      <c r="B41" s="2">
        <v>1</v>
      </c>
      <c r="C41" s="3" t="s">
        <v>159</v>
      </c>
      <c r="D41" s="2" t="s">
        <v>92</v>
      </c>
      <c r="E41" s="5" cm="1">
        <f t="array" aca="1" ref="E41" ca="1">SUMPRODUCT(
--ISNUMBER(
MATCH(
LEFT(
TRIM(MID(SUBSTITUTE(C41,";",REPT(" ",100)),
(ROW($1:$10)-1)*100+1,100)),
FIND(":",TRIM(MID(SUBSTITUTE(C41,";",REPT(" ",100)),
(ROW($1:$10)-1)*100+1,100))&amp;":")-1),
材料产品列表,0)),
--ISNUMBER(
--MID(
TRIM(MID(SUBSTITUTE(C41,";",REPT(" ",100)),
(ROW($1:$10)-1)*100+1,100)),
FIND(":",TRIM(MID(SUBSTITUTE(C41,";",REPT(" ",100)),
(ROW($1:$10)-1)*100+1,100))&amp;":")+1,99))
)</f>
        <v>2</v>
      </c>
      <c r="F41" s="7" t="str" cm="1">
        <f t="array" aca="1" ref="F41" ca="1">IF(
SUMPRODUCT(
--(
ISNUMBER(MATCH(
LEFT(
TRIM(MID(SUBSTITUTE($C41,";",REPT(" ",100)),
(ROW($1:$10)-1)*100+1,100)),
FIND(":",TRIM(MID(SUBSTITUTE($C41,";",REPT(" ",100)),
(ROW($1:$10)-1)*100+1,100))&amp;":")-1),
材料产品列表,0))
*
ISNUMBER(--MID(
TRIM(MID(SUBSTITUTE($C41,";",REPT(" ",100)),
(ROW($1:$10)-1)*100+1,100)),
FIND(":",TRIM(MID(SUBSTITUTE($C41,";",REPT(" ",100)),
(ROW($1:$10)-1)*100+1,100))&amp;":")+1,99))
)
)
=
LEN($C41)-LEN(SUBSTITUTE($C41,";",""))+1,
"全部正确",
IFERROR(
INDEX(
TRIM(MID(SUBSTITUTE($C41,";",REPT(" ",100)),
(ROW($1:$10)-1)*100+1,100)),
MATCH(0,
ISNUMBER(MATCH(
LEFT(
TRIM(MID(SUBSTITUTE($C41,";",REPT(" ",100)),
(ROW($1:$10)-1)*100+1,100)),
FIND(":",TRIM(MID(SUBSTITUTE($C41,";",REPT(" ",100)),
(ROW($1:$10)-1)*100+1,100))&amp;":")-1),
材料产品列表,0))
*
ISNUMBER(--MID(
TRIM(MID(SUBSTITUTE($C41,";",REPT(" ",100)),
(ROW($1:$10)-1)*100+1,100)),
FIND(":",TRIM(MID(SUBSTITUTE($C41,";",REPT(" ",100)),
(ROW($1:$10)-1)*100+1,100))&amp;":")+1,99)),
0)
),
"全部正确"
)
)</f>
        <v>全部正确</v>
      </c>
    </row>
    <row r="42" spans="1:6" x14ac:dyDescent="0.3">
      <c r="A42" s="3" t="s">
        <v>144</v>
      </c>
      <c r="B42" s="2">
        <v>1</v>
      </c>
      <c r="C42" s="3" t="s">
        <v>160</v>
      </c>
      <c r="D42" s="2" t="s">
        <v>92</v>
      </c>
      <c r="E42" s="5" cm="1">
        <f t="array" aca="1" ref="E42" ca="1">SUMPRODUCT(
--ISNUMBER(
MATCH(
LEFT(
TRIM(MID(SUBSTITUTE(C42,";",REPT(" ",100)),
(ROW($1:$10)-1)*100+1,100)),
FIND(":",TRIM(MID(SUBSTITUTE(C42,";",REPT(" ",100)),
(ROW($1:$10)-1)*100+1,100))&amp;":")-1),
材料产品列表,0)),
--ISNUMBER(
--MID(
TRIM(MID(SUBSTITUTE(C42,";",REPT(" ",100)),
(ROW($1:$10)-1)*100+1,100)),
FIND(":",TRIM(MID(SUBSTITUTE(C42,";",REPT(" ",100)),
(ROW($1:$10)-1)*100+1,100))&amp;":")+1,99))
)</f>
        <v>2</v>
      </c>
      <c r="F42" s="7" t="str" cm="1">
        <f t="array" aca="1" ref="F42" ca="1">IF(
SUMPRODUCT(
--(
ISNUMBER(MATCH(
LEFT(
TRIM(MID(SUBSTITUTE($C42,";",REPT(" ",100)),
(ROW($1:$10)-1)*100+1,100)),
FIND(":",TRIM(MID(SUBSTITUTE($C42,";",REPT(" ",100)),
(ROW($1:$10)-1)*100+1,100))&amp;":")-1),
材料产品列表,0))
*
ISNUMBER(--MID(
TRIM(MID(SUBSTITUTE($C42,";",REPT(" ",100)),
(ROW($1:$10)-1)*100+1,100)),
FIND(":",TRIM(MID(SUBSTITUTE($C42,";",REPT(" ",100)),
(ROW($1:$10)-1)*100+1,100))&amp;":")+1,99))
)
)
=
LEN($C42)-LEN(SUBSTITUTE($C42,";",""))+1,
"全部正确",
IFERROR(
INDEX(
TRIM(MID(SUBSTITUTE($C42,";",REPT(" ",100)),
(ROW($1:$10)-1)*100+1,100)),
MATCH(0,
ISNUMBER(MATCH(
LEFT(
TRIM(MID(SUBSTITUTE($C42,";",REPT(" ",100)),
(ROW($1:$10)-1)*100+1,100)),
FIND(":",TRIM(MID(SUBSTITUTE($C42,";",REPT(" ",100)),
(ROW($1:$10)-1)*100+1,100))&amp;":")-1),
材料产品列表,0))
*
ISNUMBER(--MID(
TRIM(MID(SUBSTITUTE($C42,";",REPT(" ",100)),
(ROW($1:$10)-1)*100+1,100)),
FIND(":",TRIM(MID(SUBSTITUTE($C42,";",REPT(" ",100)),
(ROW($1:$10)-1)*100+1,100))&amp;":")+1,99)),
0)
),
"全部正确"
)
)</f>
        <v>全部正确</v>
      </c>
    </row>
    <row r="43" spans="1:6" x14ac:dyDescent="0.3">
      <c r="A43" s="3" t="s">
        <v>145</v>
      </c>
      <c r="B43" s="2">
        <v>1</v>
      </c>
      <c r="C43" s="3" t="s">
        <v>161</v>
      </c>
      <c r="D43" s="2" t="s">
        <v>92</v>
      </c>
      <c r="E43" s="5" cm="1">
        <f t="array" aca="1" ref="E43" ca="1">SUMPRODUCT(
--ISNUMBER(
MATCH(
LEFT(
TRIM(MID(SUBSTITUTE(C43,";",REPT(" ",100)),
(ROW($1:$10)-1)*100+1,100)),
FIND(":",TRIM(MID(SUBSTITUTE(C43,";",REPT(" ",100)),
(ROW($1:$10)-1)*100+1,100))&amp;":")-1),
材料产品列表,0)),
--ISNUMBER(
--MID(
TRIM(MID(SUBSTITUTE(C43,";",REPT(" ",100)),
(ROW($1:$10)-1)*100+1,100)),
FIND(":",TRIM(MID(SUBSTITUTE(C43,";",REPT(" ",100)),
(ROW($1:$10)-1)*100+1,100))&amp;":")+1,99))
)</f>
        <v>2</v>
      </c>
      <c r="F43" s="7" t="str" cm="1">
        <f t="array" aca="1" ref="F43" ca="1">IF(
SUMPRODUCT(
--(
ISNUMBER(MATCH(
LEFT(
TRIM(MID(SUBSTITUTE($C43,";",REPT(" ",100)),
(ROW($1:$10)-1)*100+1,100)),
FIND(":",TRIM(MID(SUBSTITUTE($C43,";",REPT(" ",100)),
(ROW($1:$10)-1)*100+1,100))&amp;":")-1),
材料产品列表,0))
*
ISNUMBER(--MID(
TRIM(MID(SUBSTITUTE($C43,";",REPT(" ",100)),
(ROW($1:$10)-1)*100+1,100)),
FIND(":",TRIM(MID(SUBSTITUTE($C43,";",REPT(" ",100)),
(ROW($1:$10)-1)*100+1,100))&amp;":")+1,99))
)
)
=
LEN($C43)-LEN(SUBSTITUTE($C43,";",""))+1,
"全部正确",
IFERROR(
INDEX(
TRIM(MID(SUBSTITUTE($C43,";",REPT(" ",100)),
(ROW($1:$10)-1)*100+1,100)),
MATCH(0,
ISNUMBER(MATCH(
LEFT(
TRIM(MID(SUBSTITUTE($C43,";",REPT(" ",100)),
(ROW($1:$10)-1)*100+1,100)),
FIND(":",TRIM(MID(SUBSTITUTE($C43,";",REPT(" ",100)),
(ROW($1:$10)-1)*100+1,100))&amp;":")-1),
材料产品列表,0))
*
ISNUMBER(--MID(
TRIM(MID(SUBSTITUTE($C43,";",REPT(" ",100)),
(ROW($1:$10)-1)*100+1,100)),
FIND(":",TRIM(MID(SUBSTITUTE($C43,";",REPT(" ",100)),
(ROW($1:$10)-1)*100+1,100))&amp;":")+1,99)),
0)
),
"全部正确"
)
)</f>
        <v>全部正确</v>
      </c>
    </row>
    <row r="44" spans="1:6" x14ac:dyDescent="0.3">
      <c r="A44" s="3" t="s">
        <v>76</v>
      </c>
      <c r="B44" s="2">
        <v>1</v>
      </c>
      <c r="C44" s="3" t="s">
        <v>162</v>
      </c>
      <c r="D44" s="2" t="s">
        <v>91</v>
      </c>
      <c r="E44" s="5" cm="1">
        <f t="array" aca="1" ref="E44" ca="1">SUMPRODUCT(
--ISNUMBER(
MATCH(
LEFT(
TRIM(MID(SUBSTITUTE(C44,";",REPT(" ",100)),
(ROW($1:$10)-1)*100+1,100)),
FIND(":",TRIM(MID(SUBSTITUTE(C44,";",REPT(" ",100)),
(ROW($1:$10)-1)*100+1,100))&amp;":")-1),
材料产品列表,0)),
--ISNUMBER(
--MID(
TRIM(MID(SUBSTITUTE(C44,";",REPT(" ",100)),
(ROW($1:$10)-1)*100+1,100)),
FIND(":",TRIM(MID(SUBSTITUTE(C44,";",REPT(" ",100)),
(ROW($1:$10)-1)*100+1,100))&amp;":")+1,99))
)</f>
        <v>2</v>
      </c>
      <c r="F44" s="7" t="str" cm="1">
        <f t="array" aca="1" ref="F44" ca="1">IF(
SUMPRODUCT(
--(
ISNUMBER(MATCH(
LEFT(
TRIM(MID(SUBSTITUTE($C44,";",REPT(" ",100)),
(ROW($1:$10)-1)*100+1,100)),
FIND(":",TRIM(MID(SUBSTITUTE($C44,";",REPT(" ",100)),
(ROW($1:$10)-1)*100+1,100))&amp;":")-1),
材料产品列表,0))
*
ISNUMBER(--MID(
TRIM(MID(SUBSTITUTE($C44,";",REPT(" ",100)),
(ROW($1:$10)-1)*100+1,100)),
FIND(":",TRIM(MID(SUBSTITUTE($C44,";",REPT(" ",100)),
(ROW($1:$10)-1)*100+1,100))&amp;":")+1,99))
)
)
=
LEN($C44)-LEN(SUBSTITUTE($C44,";",""))+1,
"全部正确",
IFERROR(
INDEX(
TRIM(MID(SUBSTITUTE($C44,";",REPT(" ",100)),
(ROW($1:$10)-1)*100+1,100)),
MATCH(0,
ISNUMBER(MATCH(
LEFT(
TRIM(MID(SUBSTITUTE($C44,";",REPT(" ",100)),
(ROW($1:$10)-1)*100+1,100)),
FIND(":",TRIM(MID(SUBSTITUTE($C44,";",REPT(" ",100)),
(ROW($1:$10)-1)*100+1,100))&amp;":")-1),
材料产品列表,0))
*
ISNUMBER(--MID(
TRIM(MID(SUBSTITUTE($C44,";",REPT(" ",100)),
(ROW($1:$10)-1)*100+1,100)),
FIND(":",TRIM(MID(SUBSTITUTE($C44,";",REPT(" ",100)),
(ROW($1:$10)-1)*100+1,100))&amp;":")+1,99)),
0)
),
"全部正确"
)
)</f>
        <v>全部正确</v>
      </c>
    </row>
    <row r="45" spans="1:6" x14ac:dyDescent="0.3">
      <c r="A45" s="3" t="s">
        <v>77</v>
      </c>
      <c r="B45" s="2">
        <v>1</v>
      </c>
      <c r="C45" s="3" t="s">
        <v>163</v>
      </c>
      <c r="D45" s="2" t="s">
        <v>91</v>
      </c>
      <c r="E45" s="5" cm="1">
        <f t="array" aca="1" ref="E45" ca="1">SUMPRODUCT(
--ISNUMBER(
MATCH(
LEFT(
TRIM(MID(SUBSTITUTE(C45,";",REPT(" ",100)),
(ROW($1:$10)-1)*100+1,100)),
FIND(":",TRIM(MID(SUBSTITUTE(C45,";",REPT(" ",100)),
(ROW($1:$10)-1)*100+1,100))&amp;":")-1),
材料产品列表,0)),
--ISNUMBER(
--MID(
TRIM(MID(SUBSTITUTE(C45,";",REPT(" ",100)),
(ROW($1:$10)-1)*100+1,100)),
FIND(":",TRIM(MID(SUBSTITUTE(C45,";",REPT(" ",100)),
(ROW($1:$10)-1)*100+1,100))&amp;":")+1,99))
)</f>
        <v>2</v>
      </c>
      <c r="F45" s="7" t="str" cm="1">
        <f t="array" aca="1" ref="F45" ca="1">IF(
SUMPRODUCT(
--(
ISNUMBER(MATCH(
LEFT(
TRIM(MID(SUBSTITUTE($C45,";",REPT(" ",100)),
(ROW($1:$10)-1)*100+1,100)),
FIND(":",TRIM(MID(SUBSTITUTE($C45,";",REPT(" ",100)),
(ROW($1:$10)-1)*100+1,100))&amp;":")-1),
材料产品列表,0))
*
ISNUMBER(--MID(
TRIM(MID(SUBSTITUTE($C45,";",REPT(" ",100)),
(ROW($1:$10)-1)*100+1,100)),
FIND(":",TRIM(MID(SUBSTITUTE($C45,";",REPT(" ",100)),
(ROW($1:$10)-1)*100+1,100))&amp;":")+1,99))
)
)
=
LEN($C45)-LEN(SUBSTITUTE($C45,";",""))+1,
"全部正确",
IFERROR(
INDEX(
TRIM(MID(SUBSTITUTE($C45,";",REPT(" ",100)),
(ROW($1:$10)-1)*100+1,100)),
MATCH(0,
ISNUMBER(MATCH(
LEFT(
TRIM(MID(SUBSTITUTE($C45,";",REPT(" ",100)),
(ROW($1:$10)-1)*100+1,100)),
FIND(":",TRIM(MID(SUBSTITUTE($C45,";",REPT(" ",100)),
(ROW($1:$10)-1)*100+1,100))&amp;":")-1),
材料产品列表,0))
*
ISNUMBER(--MID(
TRIM(MID(SUBSTITUTE($C45,";",REPT(" ",100)),
(ROW($1:$10)-1)*100+1,100)),
FIND(":",TRIM(MID(SUBSTITUTE($C45,";",REPT(" ",100)),
(ROW($1:$10)-1)*100+1,100))&amp;":")+1,99)),
0)
),
"全部正确"
)
)</f>
        <v>全部正确</v>
      </c>
    </row>
    <row r="46" spans="1:6" x14ac:dyDescent="0.3">
      <c r="A46" s="3" t="s">
        <v>78</v>
      </c>
      <c r="B46" s="2">
        <v>1</v>
      </c>
      <c r="C46" s="3" t="s">
        <v>164</v>
      </c>
      <c r="D46" s="2" t="s">
        <v>91</v>
      </c>
      <c r="E46" s="5" cm="1">
        <f t="array" aca="1" ref="E46" ca="1">SUMPRODUCT(
--ISNUMBER(
MATCH(
LEFT(
TRIM(MID(SUBSTITUTE(C46,";",REPT(" ",100)),
(ROW($1:$10)-1)*100+1,100)),
FIND(":",TRIM(MID(SUBSTITUTE(C46,";",REPT(" ",100)),
(ROW($1:$10)-1)*100+1,100))&amp;":")-1),
材料产品列表,0)),
--ISNUMBER(
--MID(
TRIM(MID(SUBSTITUTE(C46,";",REPT(" ",100)),
(ROW($1:$10)-1)*100+1,100)),
FIND(":",TRIM(MID(SUBSTITUTE(C46,";",REPT(" ",100)),
(ROW($1:$10)-1)*100+1,100))&amp;":")+1,99))
)</f>
        <v>2</v>
      </c>
      <c r="F46" s="7" t="str" cm="1">
        <f t="array" aca="1" ref="F46" ca="1">IF(
SUMPRODUCT(
--(
ISNUMBER(MATCH(
LEFT(
TRIM(MID(SUBSTITUTE($C46,";",REPT(" ",100)),
(ROW($1:$10)-1)*100+1,100)),
FIND(":",TRIM(MID(SUBSTITUTE($C46,";",REPT(" ",100)),
(ROW($1:$10)-1)*100+1,100))&amp;":")-1),
材料产品列表,0))
*
ISNUMBER(--MID(
TRIM(MID(SUBSTITUTE($C46,";",REPT(" ",100)),
(ROW($1:$10)-1)*100+1,100)),
FIND(":",TRIM(MID(SUBSTITUTE($C46,";",REPT(" ",100)),
(ROW($1:$10)-1)*100+1,100))&amp;":")+1,99))
)
)
=
LEN($C46)-LEN(SUBSTITUTE($C46,";",""))+1,
"全部正确",
IFERROR(
INDEX(
TRIM(MID(SUBSTITUTE($C46,";",REPT(" ",100)),
(ROW($1:$10)-1)*100+1,100)),
MATCH(0,
ISNUMBER(MATCH(
LEFT(
TRIM(MID(SUBSTITUTE($C46,";",REPT(" ",100)),
(ROW($1:$10)-1)*100+1,100)),
FIND(":",TRIM(MID(SUBSTITUTE($C46,";",REPT(" ",100)),
(ROW($1:$10)-1)*100+1,100))&amp;":")-1),
材料产品列表,0))
*
ISNUMBER(--MID(
TRIM(MID(SUBSTITUTE($C46,";",REPT(" ",100)),
(ROW($1:$10)-1)*100+1,100)),
FIND(":",TRIM(MID(SUBSTITUTE($C46,";",REPT(" ",100)),
(ROW($1:$10)-1)*100+1,100))&amp;":")+1,99)),
0)
),
"全部正确"
)
)</f>
        <v>全部正确</v>
      </c>
    </row>
    <row r="47" spans="1:6" x14ac:dyDescent="0.3">
      <c r="A47" s="3" t="s">
        <v>79</v>
      </c>
      <c r="B47" s="2">
        <v>1</v>
      </c>
      <c r="C47" s="3" t="s">
        <v>165</v>
      </c>
      <c r="D47" s="2" t="s">
        <v>91</v>
      </c>
      <c r="E47" s="5" cm="1">
        <f t="array" aca="1" ref="E47" ca="1">SUMPRODUCT(
--ISNUMBER(
MATCH(
LEFT(
TRIM(MID(SUBSTITUTE(C47,";",REPT(" ",100)),
(ROW($1:$10)-1)*100+1,100)),
FIND(":",TRIM(MID(SUBSTITUTE(C47,";",REPT(" ",100)),
(ROW($1:$10)-1)*100+1,100))&amp;":")-1),
材料产品列表,0)),
--ISNUMBER(
--MID(
TRIM(MID(SUBSTITUTE(C47,";",REPT(" ",100)),
(ROW($1:$10)-1)*100+1,100)),
FIND(":",TRIM(MID(SUBSTITUTE(C47,";",REPT(" ",100)),
(ROW($1:$10)-1)*100+1,100))&amp;":")+1,99))
)</f>
        <v>2</v>
      </c>
      <c r="F47" s="7" t="str" cm="1">
        <f t="array" aca="1" ref="F47" ca="1">IF(
SUMPRODUCT(
--(
ISNUMBER(MATCH(
LEFT(
TRIM(MID(SUBSTITUTE($C47,";",REPT(" ",100)),
(ROW($1:$10)-1)*100+1,100)),
FIND(":",TRIM(MID(SUBSTITUTE($C47,";",REPT(" ",100)),
(ROW($1:$10)-1)*100+1,100))&amp;":")-1),
材料产品列表,0))
*
ISNUMBER(--MID(
TRIM(MID(SUBSTITUTE($C47,";",REPT(" ",100)),
(ROW($1:$10)-1)*100+1,100)),
FIND(":",TRIM(MID(SUBSTITUTE($C47,";",REPT(" ",100)),
(ROW($1:$10)-1)*100+1,100))&amp;":")+1,99))
)
)
=
LEN($C47)-LEN(SUBSTITUTE($C47,";",""))+1,
"全部正确",
IFERROR(
INDEX(
TRIM(MID(SUBSTITUTE($C47,";",REPT(" ",100)),
(ROW($1:$10)-1)*100+1,100)),
MATCH(0,
ISNUMBER(MATCH(
LEFT(
TRIM(MID(SUBSTITUTE($C47,";",REPT(" ",100)),
(ROW($1:$10)-1)*100+1,100)),
FIND(":",TRIM(MID(SUBSTITUTE($C47,";",REPT(" ",100)),
(ROW($1:$10)-1)*100+1,100))&amp;":")-1),
材料产品列表,0))
*
ISNUMBER(--MID(
TRIM(MID(SUBSTITUTE($C47,";",REPT(" ",100)),
(ROW($1:$10)-1)*100+1,100)),
FIND(":",TRIM(MID(SUBSTITUTE($C47,";",REPT(" ",100)),
(ROW($1:$10)-1)*100+1,100))&amp;":")+1,99)),
0)
),
"全部正确"
)
)</f>
        <v>全部正确</v>
      </c>
    </row>
    <row r="48" spans="1:6" x14ac:dyDescent="0.3">
      <c r="A48" s="3" t="s">
        <v>80</v>
      </c>
      <c r="B48" s="2">
        <v>1</v>
      </c>
      <c r="C48" s="3" t="s">
        <v>166</v>
      </c>
      <c r="D48" s="2" t="s">
        <v>91</v>
      </c>
      <c r="E48" s="5" cm="1">
        <f t="array" aca="1" ref="E48" ca="1">SUMPRODUCT(
--ISNUMBER(
MATCH(
LEFT(
TRIM(MID(SUBSTITUTE(C48,";",REPT(" ",100)),
(ROW($1:$10)-1)*100+1,100)),
FIND(":",TRIM(MID(SUBSTITUTE(C48,";",REPT(" ",100)),
(ROW($1:$10)-1)*100+1,100))&amp;":")-1),
材料产品列表,0)),
--ISNUMBER(
--MID(
TRIM(MID(SUBSTITUTE(C48,";",REPT(" ",100)),
(ROW($1:$10)-1)*100+1,100)),
FIND(":",TRIM(MID(SUBSTITUTE(C48,";",REPT(" ",100)),
(ROW($1:$10)-1)*100+1,100))&amp;":")+1,99))
)</f>
        <v>2</v>
      </c>
      <c r="F48" s="7" t="str" cm="1">
        <f t="array" aca="1" ref="F48" ca="1">IF(
SUMPRODUCT(
--(
ISNUMBER(MATCH(
LEFT(
TRIM(MID(SUBSTITUTE($C48,";",REPT(" ",100)),
(ROW($1:$10)-1)*100+1,100)),
FIND(":",TRIM(MID(SUBSTITUTE($C48,";",REPT(" ",100)),
(ROW($1:$10)-1)*100+1,100))&amp;":")-1),
材料产品列表,0))
*
ISNUMBER(--MID(
TRIM(MID(SUBSTITUTE($C48,";",REPT(" ",100)),
(ROW($1:$10)-1)*100+1,100)),
FIND(":",TRIM(MID(SUBSTITUTE($C48,";",REPT(" ",100)),
(ROW($1:$10)-1)*100+1,100))&amp;":")+1,99))
)
)
=
LEN($C48)-LEN(SUBSTITUTE($C48,";",""))+1,
"全部正确",
IFERROR(
INDEX(
TRIM(MID(SUBSTITUTE($C48,";",REPT(" ",100)),
(ROW($1:$10)-1)*100+1,100)),
MATCH(0,
ISNUMBER(MATCH(
LEFT(
TRIM(MID(SUBSTITUTE($C48,";",REPT(" ",100)),
(ROW($1:$10)-1)*100+1,100)),
FIND(":",TRIM(MID(SUBSTITUTE($C48,";",REPT(" ",100)),
(ROW($1:$10)-1)*100+1,100))&amp;":")-1),
材料产品列表,0))
*
ISNUMBER(--MID(
TRIM(MID(SUBSTITUTE($C48,";",REPT(" ",100)),
(ROW($1:$10)-1)*100+1,100)),
FIND(":",TRIM(MID(SUBSTITUTE($C48,";",REPT(" ",100)),
(ROW($1:$10)-1)*100+1,100))&amp;":")+1,99)),
0)
),
"全部正确"
)
)</f>
        <v>全部正确</v>
      </c>
    </row>
    <row r="49" spans="1:6" x14ac:dyDescent="0.3">
      <c r="A49" s="3" t="s">
        <v>81</v>
      </c>
      <c r="B49" s="2">
        <v>1</v>
      </c>
      <c r="C49" s="3" t="s">
        <v>167</v>
      </c>
      <c r="D49" s="2" t="s">
        <v>92</v>
      </c>
      <c r="E49" s="5" cm="1">
        <f t="array" aca="1" ref="E49" ca="1">SUMPRODUCT(
--ISNUMBER(
MATCH(
LEFT(
TRIM(MID(SUBSTITUTE(C49,";",REPT(" ",100)),
(ROW($1:$10)-1)*100+1,100)),
FIND(":",TRIM(MID(SUBSTITUTE(C49,";",REPT(" ",100)),
(ROW($1:$10)-1)*100+1,100))&amp;":")-1),
材料产品列表,0)),
--ISNUMBER(
--MID(
TRIM(MID(SUBSTITUTE(C49,";",REPT(" ",100)),
(ROW($1:$10)-1)*100+1,100)),
FIND(":",TRIM(MID(SUBSTITUTE(C49,";",REPT(" ",100)),
(ROW($1:$10)-1)*100+1,100))&amp;":")+1,99))
)</f>
        <v>2</v>
      </c>
      <c r="F49" s="7" t="str" cm="1">
        <f t="array" aca="1" ref="F49" ca="1">IF(
SUMPRODUCT(
--(
ISNUMBER(MATCH(
LEFT(
TRIM(MID(SUBSTITUTE($C49,";",REPT(" ",100)),
(ROW($1:$10)-1)*100+1,100)),
FIND(":",TRIM(MID(SUBSTITUTE($C49,";",REPT(" ",100)),
(ROW($1:$10)-1)*100+1,100))&amp;":")-1),
材料产品列表,0))
*
ISNUMBER(--MID(
TRIM(MID(SUBSTITUTE($C49,";",REPT(" ",100)),
(ROW($1:$10)-1)*100+1,100)),
FIND(":",TRIM(MID(SUBSTITUTE($C49,";",REPT(" ",100)),
(ROW($1:$10)-1)*100+1,100))&amp;":")+1,99))
)
)
=
LEN($C49)-LEN(SUBSTITUTE($C49,";",""))+1,
"全部正确",
IFERROR(
INDEX(
TRIM(MID(SUBSTITUTE($C49,";",REPT(" ",100)),
(ROW($1:$10)-1)*100+1,100)),
MATCH(0,
ISNUMBER(MATCH(
LEFT(
TRIM(MID(SUBSTITUTE($C49,";",REPT(" ",100)),
(ROW($1:$10)-1)*100+1,100)),
FIND(":",TRIM(MID(SUBSTITUTE($C49,";",REPT(" ",100)),
(ROW($1:$10)-1)*100+1,100))&amp;":")-1),
材料产品列表,0))
*
ISNUMBER(--MID(
TRIM(MID(SUBSTITUTE($C49,";",REPT(" ",100)),
(ROW($1:$10)-1)*100+1,100)),
FIND(":",TRIM(MID(SUBSTITUTE($C49,";",REPT(" ",100)),
(ROW($1:$10)-1)*100+1,100))&amp;":")+1,99)),
0)
),
"全部正确"
)
)</f>
        <v>全部正确</v>
      </c>
    </row>
    <row r="50" spans="1:6" x14ac:dyDescent="0.3">
      <c r="A50" s="3" t="s">
        <v>168</v>
      </c>
      <c r="B50" s="2">
        <v>2</v>
      </c>
      <c r="C50" s="3" t="s">
        <v>169</v>
      </c>
      <c r="D50" s="2" t="s">
        <v>85</v>
      </c>
      <c r="E50" s="5" cm="1">
        <f t="array" aca="1" ref="E50" ca="1">SUMPRODUCT(
--ISNUMBER(
MATCH(
LEFT(
TRIM(MID(SUBSTITUTE(C50,";",REPT(" ",100)),
(ROW($1:$10)-1)*100+1,100)),
FIND(":",TRIM(MID(SUBSTITUTE(C50,";",REPT(" ",100)),
(ROW($1:$10)-1)*100+1,100))&amp;":")-1),
材料产品列表,0)),
--ISNUMBER(
--MID(
TRIM(MID(SUBSTITUTE(C50,";",REPT(" ",100)),
(ROW($1:$10)-1)*100+1,100)),
FIND(":",TRIM(MID(SUBSTITUTE(C50,";",REPT(" ",100)),
(ROW($1:$10)-1)*100+1,100))&amp;":")+1,99))
)</f>
        <v>1</v>
      </c>
      <c r="F50" s="7" t="str" cm="1">
        <f t="array" aca="1" ref="F50" ca="1">IF(
SUMPRODUCT(
--(
ISNUMBER(MATCH(
LEFT(
TRIM(MID(SUBSTITUTE($C50,";",REPT(" ",100)),
(ROW($1:$10)-1)*100+1,100)),
FIND(":",TRIM(MID(SUBSTITUTE($C50,";",REPT(" ",100)),
(ROW($1:$10)-1)*100+1,100))&amp;":")-1),
材料产品列表,0))
*
ISNUMBER(--MID(
TRIM(MID(SUBSTITUTE($C50,";",REPT(" ",100)),
(ROW($1:$10)-1)*100+1,100)),
FIND(":",TRIM(MID(SUBSTITUTE($C50,";",REPT(" ",100)),
(ROW($1:$10)-1)*100+1,100))&amp;":")+1,99))
)
)
=
LEN($C50)-LEN(SUBSTITUTE($C50,";",""))+1,
"全部正确",
IFERROR(
INDEX(
TRIM(MID(SUBSTITUTE($C50,";",REPT(" ",100)),
(ROW($1:$10)-1)*100+1,100)),
MATCH(0,
ISNUMBER(MATCH(
LEFT(
TRIM(MID(SUBSTITUTE($C50,";",REPT(" ",100)),
(ROW($1:$10)-1)*100+1,100)),
FIND(":",TRIM(MID(SUBSTITUTE($C50,";",REPT(" ",100)),
(ROW($1:$10)-1)*100+1,100))&amp;":")-1),
材料产品列表,0))
*
ISNUMBER(--MID(
TRIM(MID(SUBSTITUTE($C50,";",REPT(" ",100)),
(ROW($1:$10)-1)*100+1,100)),
FIND(":",TRIM(MID(SUBSTITUTE($C50,";",REPT(" ",100)),
(ROW($1:$10)-1)*100+1,100))&amp;":")+1,99)),
0)
),
"全部正确"
)
)</f>
        <v>全部正确</v>
      </c>
    </row>
    <row r="51" spans="1:6" x14ac:dyDescent="0.3">
      <c r="A51" s="3" t="s">
        <v>170</v>
      </c>
      <c r="B51" s="2">
        <v>2</v>
      </c>
      <c r="C51" s="3" t="s">
        <v>171</v>
      </c>
      <c r="D51" s="2" t="s">
        <v>85</v>
      </c>
      <c r="E51" s="5" cm="1">
        <f t="array" aca="1" ref="E51" ca="1">SUMPRODUCT(
--ISNUMBER(
MATCH(
LEFT(
TRIM(MID(SUBSTITUTE(C51,";",REPT(" ",100)),
(ROW($1:$10)-1)*100+1,100)),
FIND(":",TRIM(MID(SUBSTITUTE(C51,";",REPT(" ",100)),
(ROW($1:$10)-1)*100+1,100))&amp;":")-1),
材料产品列表,0)),
--ISNUMBER(
--MID(
TRIM(MID(SUBSTITUTE(C51,";",REPT(" ",100)),
(ROW($1:$10)-1)*100+1,100)),
FIND(":",TRIM(MID(SUBSTITUTE(C51,";",REPT(" ",100)),
(ROW($1:$10)-1)*100+1,100))&amp;":")+1,99))
)</f>
        <v>1</v>
      </c>
      <c r="F51" s="7" t="str" cm="1">
        <f t="array" aca="1" ref="F51" ca="1">IF(
SUMPRODUCT(
--(
ISNUMBER(MATCH(
LEFT(
TRIM(MID(SUBSTITUTE($C51,";",REPT(" ",100)),
(ROW($1:$10)-1)*100+1,100)),
FIND(":",TRIM(MID(SUBSTITUTE($C51,";",REPT(" ",100)),
(ROW($1:$10)-1)*100+1,100))&amp;":")-1),
材料产品列表,0))
*
ISNUMBER(--MID(
TRIM(MID(SUBSTITUTE($C51,";",REPT(" ",100)),
(ROW($1:$10)-1)*100+1,100)),
FIND(":",TRIM(MID(SUBSTITUTE($C51,";",REPT(" ",100)),
(ROW($1:$10)-1)*100+1,100))&amp;":")+1,99))
)
)
=
LEN($C51)-LEN(SUBSTITUTE($C51,";",""))+1,
"全部正确",
IFERROR(
INDEX(
TRIM(MID(SUBSTITUTE($C51,";",REPT(" ",100)),
(ROW($1:$10)-1)*100+1,100)),
MATCH(0,
ISNUMBER(MATCH(
LEFT(
TRIM(MID(SUBSTITUTE($C51,";",REPT(" ",100)),
(ROW($1:$10)-1)*100+1,100)),
FIND(":",TRIM(MID(SUBSTITUTE($C51,";",REPT(" ",100)),
(ROW($1:$10)-1)*100+1,100))&amp;":")-1),
材料产品列表,0))
*
ISNUMBER(--MID(
TRIM(MID(SUBSTITUTE($C51,";",REPT(" ",100)),
(ROW($1:$10)-1)*100+1,100)),
FIND(":",TRIM(MID(SUBSTITUTE($C51,";",REPT(" ",100)),
(ROW($1:$10)-1)*100+1,100))&amp;":")+1,99)),
0)
),
"全部正确"
)
)</f>
        <v>全部正确</v>
      </c>
    </row>
    <row r="52" spans="1:6" x14ac:dyDescent="0.3">
      <c r="A52" s="3" t="s">
        <v>172</v>
      </c>
      <c r="B52" s="2">
        <v>2</v>
      </c>
      <c r="C52" s="3" t="s">
        <v>173</v>
      </c>
      <c r="D52" s="2" t="s">
        <v>85</v>
      </c>
      <c r="E52" s="5" cm="1">
        <f t="array" aca="1" ref="E52" ca="1">SUMPRODUCT(
--ISNUMBER(
MATCH(
LEFT(
TRIM(MID(SUBSTITUTE(C52,";",REPT(" ",100)),
(ROW($1:$10)-1)*100+1,100)),
FIND(":",TRIM(MID(SUBSTITUTE(C52,";",REPT(" ",100)),
(ROW($1:$10)-1)*100+1,100))&amp;":")-1),
材料产品列表,0)),
--ISNUMBER(
--MID(
TRIM(MID(SUBSTITUTE(C52,";",REPT(" ",100)),
(ROW($1:$10)-1)*100+1,100)),
FIND(":",TRIM(MID(SUBSTITUTE(C52,";",REPT(" ",100)),
(ROW($1:$10)-1)*100+1,100))&amp;":")+1,99))
)</f>
        <v>1</v>
      </c>
      <c r="F52" s="7" t="str" cm="1">
        <f t="array" aca="1" ref="F52" ca="1">IF(
SUMPRODUCT(
--(
ISNUMBER(MATCH(
LEFT(
TRIM(MID(SUBSTITUTE($C52,";",REPT(" ",100)),
(ROW($1:$10)-1)*100+1,100)),
FIND(":",TRIM(MID(SUBSTITUTE($C52,";",REPT(" ",100)),
(ROW($1:$10)-1)*100+1,100))&amp;":")-1),
材料产品列表,0))
*
ISNUMBER(--MID(
TRIM(MID(SUBSTITUTE($C52,";",REPT(" ",100)),
(ROW($1:$10)-1)*100+1,100)),
FIND(":",TRIM(MID(SUBSTITUTE($C52,";",REPT(" ",100)),
(ROW($1:$10)-1)*100+1,100))&amp;":")+1,99))
)
)
=
LEN($C52)-LEN(SUBSTITUTE($C52,";",""))+1,
"全部正确",
IFERROR(
INDEX(
TRIM(MID(SUBSTITUTE($C52,";",REPT(" ",100)),
(ROW($1:$10)-1)*100+1,100)),
MATCH(0,
ISNUMBER(MATCH(
LEFT(
TRIM(MID(SUBSTITUTE($C52,";",REPT(" ",100)),
(ROW($1:$10)-1)*100+1,100)),
FIND(":",TRIM(MID(SUBSTITUTE($C52,";",REPT(" ",100)),
(ROW($1:$10)-1)*100+1,100))&amp;":")-1),
材料产品列表,0))
*
ISNUMBER(--MID(
TRIM(MID(SUBSTITUTE($C52,";",REPT(" ",100)),
(ROW($1:$10)-1)*100+1,100)),
FIND(":",TRIM(MID(SUBSTITUTE($C52,";",REPT(" ",100)),
(ROW($1:$10)-1)*100+1,100))&amp;":")+1,99)),
0)
),
"全部正确"
)
)</f>
        <v>全部正确</v>
      </c>
    </row>
    <row r="53" spans="1:6" x14ac:dyDescent="0.3">
      <c r="A53" s="3" t="s">
        <v>174</v>
      </c>
      <c r="B53" s="2">
        <v>2</v>
      </c>
      <c r="C53" s="3" t="s">
        <v>175</v>
      </c>
      <c r="D53" s="2" t="s">
        <v>85</v>
      </c>
      <c r="E53" s="5" cm="1">
        <f t="array" aca="1" ref="E53" ca="1">SUMPRODUCT(
--ISNUMBER(
MATCH(
LEFT(
TRIM(MID(SUBSTITUTE(C53,";",REPT(" ",100)),
(ROW($1:$10)-1)*100+1,100)),
FIND(":",TRIM(MID(SUBSTITUTE(C53,";",REPT(" ",100)),
(ROW($1:$10)-1)*100+1,100))&amp;":")-1),
材料产品列表,0)),
--ISNUMBER(
--MID(
TRIM(MID(SUBSTITUTE(C53,";",REPT(" ",100)),
(ROW($1:$10)-1)*100+1,100)),
FIND(":",TRIM(MID(SUBSTITUTE(C53,";",REPT(" ",100)),
(ROW($1:$10)-1)*100+1,100))&amp;":")+1,99))
)</f>
        <v>1</v>
      </c>
      <c r="F53" s="7" t="str" cm="1">
        <f t="array" aca="1" ref="F53" ca="1">IF(
SUMPRODUCT(
--(
ISNUMBER(MATCH(
LEFT(
TRIM(MID(SUBSTITUTE($C53,";",REPT(" ",100)),
(ROW($1:$10)-1)*100+1,100)),
FIND(":",TRIM(MID(SUBSTITUTE($C53,";",REPT(" ",100)),
(ROW($1:$10)-1)*100+1,100))&amp;":")-1),
材料产品列表,0))
*
ISNUMBER(--MID(
TRIM(MID(SUBSTITUTE($C53,";",REPT(" ",100)),
(ROW($1:$10)-1)*100+1,100)),
FIND(":",TRIM(MID(SUBSTITUTE($C53,";",REPT(" ",100)),
(ROW($1:$10)-1)*100+1,100))&amp;":")+1,99))
)
)
=
LEN($C53)-LEN(SUBSTITUTE($C53,";",""))+1,
"全部正确",
IFERROR(
INDEX(
TRIM(MID(SUBSTITUTE($C53,";",REPT(" ",100)),
(ROW($1:$10)-1)*100+1,100)),
MATCH(0,
ISNUMBER(MATCH(
LEFT(
TRIM(MID(SUBSTITUTE($C53,";",REPT(" ",100)),
(ROW($1:$10)-1)*100+1,100)),
FIND(":",TRIM(MID(SUBSTITUTE($C53,";",REPT(" ",100)),
(ROW($1:$10)-1)*100+1,100))&amp;":")-1),
材料产品列表,0))
*
ISNUMBER(--MID(
TRIM(MID(SUBSTITUTE($C53,";",REPT(" ",100)),
(ROW($1:$10)-1)*100+1,100)),
FIND(":",TRIM(MID(SUBSTITUTE($C53,";",REPT(" ",100)),
(ROW($1:$10)-1)*100+1,100))&amp;":")+1,99)),
0)
),
"全部正确"
)
)</f>
        <v>全部正确</v>
      </c>
    </row>
    <row r="54" spans="1:6" x14ac:dyDescent="0.3">
      <c r="A54" s="3" t="s">
        <v>64</v>
      </c>
      <c r="B54" s="2">
        <v>1</v>
      </c>
      <c r="C54" s="3" t="s">
        <v>176</v>
      </c>
      <c r="D54" s="2" t="s">
        <v>91</v>
      </c>
      <c r="E54" s="5" cm="1">
        <f t="array" aca="1" ref="E54" ca="1">SUMPRODUCT(
--ISNUMBER(
MATCH(
LEFT(
TRIM(MID(SUBSTITUTE(C54,";",REPT(" ",100)),
(ROW($1:$10)-1)*100+1,100)),
FIND(":",TRIM(MID(SUBSTITUTE(C54,";",REPT(" ",100)),
(ROW($1:$10)-1)*100+1,100))&amp;":")-1),
材料产品列表,0)),
--ISNUMBER(
--MID(
TRIM(MID(SUBSTITUTE(C54,";",REPT(" ",100)),
(ROW($1:$10)-1)*100+1,100)),
FIND(":",TRIM(MID(SUBSTITUTE(C54,";",REPT(" ",100)),
(ROW($1:$10)-1)*100+1,100))&amp;":")+1,99))
)</f>
        <v>2</v>
      </c>
      <c r="F54" s="7" t="str" cm="1">
        <f t="array" aca="1" ref="F54" ca="1">IF(
SUMPRODUCT(
--(
ISNUMBER(MATCH(
LEFT(
TRIM(MID(SUBSTITUTE($C54,";",REPT(" ",100)),
(ROW($1:$10)-1)*100+1,100)),
FIND(":",TRIM(MID(SUBSTITUTE($C54,";",REPT(" ",100)),
(ROW($1:$10)-1)*100+1,100))&amp;":")-1),
材料产品列表,0))
*
ISNUMBER(--MID(
TRIM(MID(SUBSTITUTE($C54,";",REPT(" ",100)),
(ROW($1:$10)-1)*100+1,100)),
FIND(":",TRIM(MID(SUBSTITUTE($C54,";",REPT(" ",100)),
(ROW($1:$10)-1)*100+1,100))&amp;":")+1,99))
)
)
=
LEN($C54)-LEN(SUBSTITUTE($C54,";",""))+1,
"全部正确",
IFERROR(
INDEX(
TRIM(MID(SUBSTITUTE($C54,";",REPT(" ",100)),
(ROW($1:$10)-1)*100+1,100)),
MATCH(0,
ISNUMBER(MATCH(
LEFT(
TRIM(MID(SUBSTITUTE($C54,";",REPT(" ",100)),
(ROW($1:$10)-1)*100+1,100)),
FIND(":",TRIM(MID(SUBSTITUTE($C54,";",REPT(" ",100)),
(ROW($1:$10)-1)*100+1,100))&amp;":")-1),
材料产品列表,0))
*
ISNUMBER(--MID(
TRIM(MID(SUBSTITUTE($C54,";",REPT(" ",100)),
(ROW($1:$10)-1)*100+1,100)),
FIND(":",TRIM(MID(SUBSTITUTE($C54,";",REPT(" ",100)),
(ROW($1:$10)-1)*100+1,100))&amp;":")+1,99)),
0)
),
"全部正确"
)
)</f>
        <v>全部正确</v>
      </c>
    </row>
    <row r="55" spans="1:6" x14ac:dyDescent="0.3">
      <c r="A55" s="3" t="s">
        <v>65</v>
      </c>
      <c r="B55" s="2">
        <v>1</v>
      </c>
      <c r="C55" s="3" t="s">
        <v>177</v>
      </c>
      <c r="D55" s="2" t="s">
        <v>91</v>
      </c>
      <c r="E55" s="5" cm="1">
        <f t="array" aca="1" ref="E55" ca="1">SUMPRODUCT(
--ISNUMBER(
MATCH(
LEFT(
TRIM(MID(SUBSTITUTE(C55,";",REPT(" ",100)),
(ROW($1:$10)-1)*100+1,100)),
FIND(":",TRIM(MID(SUBSTITUTE(C55,";",REPT(" ",100)),
(ROW($1:$10)-1)*100+1,100))&amp;":")-1),
材料产品列表,0)),
--ISNUMBER(
--MID(
TRIM(MID(SUBSTITUTE(C55,";",REPT(" ",100)),
(ROW($1:$10)-1)*100+1,100)),
FIND(":",TRIM(MID(SUBSTITUTE(C55,";",REPT(" ",100)),
(ROW($1:$10)-1)*100+1,100))&amp;":")+1,99))
)</f>
        <v>2</v>
      </c>
      <c r="F55" s="7" t="str" cm="1">
        <f t="array" aca="1" ref="F55" ca="1">IF(
SUMPRODUCT(
--(
ISNUMBER(MATCH(
LEFT(
TRIM(MID(SUBSTITUTE($C55,";",REPT(" ",100)),
(ROW($1:$10)-1)*100+1,100)),
FIND(":",TRIM(MID(SUBSTITUTE($C55,";",REPT(" ",100)),
(ROW($1:$10)-1)*100+1,100))&amp;":")-1),
材料产品列表,0))
*
ISNUMBER(--MID(
TRIM(MID(SUBSTITUTE($C55,";",REPT(" ",100)),
(ROW($1:$10)-1)*100+1,100)),
FIND(":",TRIM(MID(SUBSTITUTE($C55,";",REPT(" ",100)),
(ROW($1:$10)-1)*100+1,100))&amp;":")+1,99))
)
)
=
LEN($C55)-LEN(SUBSTITUTE($C55,";",""))+1,
"全部正确",
IFERROR(
INDEX(
TRIM(MID(SUBSTITUTE($C55,";",REPT(" ",100)),
(ROW($1:$10)-1)*100+1,100)),
MATCH(0,
ISNUMBER(MATCH(
LEFT(
TRIM(MID(SUBSTITUTE($C55,";",REPT(" ",100)),
(ROW($1:$10)-1)*100+1,100)),
FIND(":",TRIM(MID(SUBSTITUTE($C55,";",REPT(" ",100)),
(ROW($1:$10)-1)*100+1,100))&amp;":")-1),
材料产品列表,0))
*
ISNUMBER(--MID(
TRIM(MID(SUBSTITUTE($C55,";",REPT(" ",100)),
(ROW($1:$10)-1)*100+1,100)),
FIND(":",TRIM(MID(SUBSTITUTE($C55,";",REPT(" ",100)),
(ROW($1:$10)-1)*100+1,100))&amp;":")+1,99)),
0)
),
"全部正确"
)
)</f>
        <v>全部正确</v>
      </c>
    </row>
    <row r="56" spans="1:6" x14ac:dyDescent="0.3">
      <c r="A56" s="3" t="s">
        <v>66</v>
      </c>
      <c r="B56" s="2">
        <v>1</v>
      </c>
      <c r="C56" s="3" t="s">
        <v>178</v>
      </c>
      <c r="D56" s="2" t="s">
        <v>91</v>
      </c>
      <c r="E56" s="5" cm="1">
        <f t="array" aca="1" ref="E56" ca="1">SUMPRODUCT(
--ISNUMBER(
MATCH(
LEFT(
TRIM(MID(SUBSTITUTE(C56,";",REPT(" ",100)),
(ROW($1:$10)-1)*100+1,100)),
FIND(":",TRIM(MID(SUBSTITUTE(C56,";",REPT(" ",100)),
(ROW($1:$10)-1)*100+1,100))&amp;":")-1),
材料产品列表,0)),
--ISNUMBER(
--MID(
TRIM(MID(SUBSTITUTE(C56,";",REPT(" ",100)),
(ROW($1:$10)-1)*100+1,100)),
FIND(":",TRIM(MID(SUBSTITUTE(C56,";",REPT(" ",100)),
(ROW($1:$10)-1)*100+1,100))&amp;":")+1,99))
)</f>
        <v>2</v>
      </c>
      <c r="F56" s="7" t="str" cm="1">
        <f t="array" aca="1" ref="F56" ca="1">IF(
SUMPRODUCT(
--(
ISNUMBER(MATCH(
LEFT(
TRIM(MID(SUBSTITUTE($C56,";",REPT(" ",100)),
(ROW($1:$10)-1)*100+1,100)),
FIND(":",TRIM(MID(SUBSTITUTE($C56,";",REPT(" ",100)),
(ROW($1:$10)-1)*100+1,100))&amp;":")-1),
材料产品列表,0))
*
ISNUMBER(--MID(
TRIM(MID(SUBSTITUTE($C56,";",REPT(" ",100)),
(ROW($1:$10)-1)*100+1,100)),
FIND(":",TRIM(MID(SUBSTITUTE($C56,";",REPT(" ",100)),
(ROW($1:$10)-1)*100+1,100))&amp;":")+1,99))
)
)
=
LEN($C56)-LEN(SUBSTITUTE($C56,";",""))+1,
"全部正确",
IFERROR(
INDEX(
TRIM(MID(SUBSTITUTE($C56,";",REPT(" ",100)),
(ROW($1:$10)-1)*100+1,100)),
MATCH(0,
ISNUMBER(MATCH(
LEFT(
TRIM(MID(SUBSTITUTE($C56,";",REPT(" ",100)),
(ROW($1:$10)-1)*100+1,100)),
FIND(":",TRIM(MID(SUBSTITUTE($C56,";",REPT(" ",100)),
(ROW($1:$10)-1)*100+1,100))&amp;":")-1),
材料产品列表,0))
*
ISNUMBER(--MID(
TRIM(MID(SUBSTITUTE($C56,";",REPT(" ",100)),
(ROW($1:$10)-1)*100+1,100)),
FIND(":",TRIM(MID(SUBSTITUTE($C56,";",REPT(" ",100)),
(ROW($1:$10)-1)*100+1,100))&amp;":")+1,99)),
0)
),
"全部正确"
)
)</f>
        <v>全部正确</v>
      </c>
    </row>
    <row r="57" spans="1:6" x14ac:dyDescent="0.3">
      <c r="A57" s="3" t="s">
        <v>67</v>
      </c>
      <c r="B57" s="2">
        <v>1</v>
      </c>
      <c r="C57" s="3" t="s">
        <v>179</v>
      </c>
      <c r="D57" s="2" t="s">
        <v>91</v>
      </c>
      <c r="E57" s="5" cm="1">
        <f t="array" aca="1" ref="E57" ca="1">SUMPRODUCT(
--ISNUMBER(
MATCH(
LEFT(
TRIM(MID(SUBSTITUTE(C57,";",REPT(" ",100)),
(ROW($1:$10)-1)*100+1,100)),
FIND(":",TRIM(MID(SUBSTITUTE(C57,";",REPT(" ",100)),
(ROW($1:$10)-1)*100+1,100))&amp;":")-1),
材料产品列表,0)),
--ISNUMBER(
--MID(
TRIM(MID(SUBSTITUTE(C57,";",REPT(" ",100)),
(ROW($1:$10)-1)*100+1,100)),
FIND(":",TRIM(MID(SUBSTITUTE(C57,";",REPT(" ",100)),
(ROW($1:$10)-1)*100+1,100))&amp;":")+1,99))
)</f>
        <v>2</v>
      </c>
      <c r="F57" s="7" t="str" cm="1">
        <f t="array" aca="1" ref="F57" ca="1">IF(
SUMPRODUCT(
--(
ISNUMBER(MATCH(
LEFT(
TRIM(MID(SUBSTITUTE($C57,";",REPT(" ",100)),
(ROW($1:$10)-1)*100+1,100)),
FIND(":",TRIM(MID(SUBSTITUTE($C57,";",REPT(" ",100)),
(ROW($1:$10)-1)*100+1,100))&amp;":")-1),
材料产品列表,0))
*
ISNUMBER(--MID(
TRIM(MID(SUBSTITUTE($C57,";",REPT(" ",100)),
(ROW($1:$10)-1)*100+1,100)),
FIND(":",TRIM(MID(SUBSTITUTE($C57,";",REPT(" ",100)),
(ROW($1:$10)-1)*100+1,100))&amp;":")+1,99))
)
)
=
LEN($C57)-LEN(SUBSTITUTE($C57,";",""))+1,
"全部正确",
IFERROR(
INDEX(
TRIM(MID(SUBSTITUTE($C57,";",REPT(" ",100)),
(ROW($1:$10)-1)*100+1,100)),
MATCH(0,
ISNUMBER(MATCH(
LEFT(
TRIM(MID(SUBSTITUTE($C57,";",REPT(" ",100)),
(ROW($1:$10)-1)*100+1,100)),
FIND(":",TRIM(MID(SUBSTITUTE($C57,";",REPT(" ",100)),
(ROW($1:$10)-1)*100+1,100))&amp;":")-1),
材料产品列表,0))
*
ISNUMBER(--MID(
TRIM(MID(SUBSTITUTE($C57,";",REPT(" ",100)),
(ROW($1:$10)-1)*100+1,100)),
FIND(":",TRIM(MID(SUBSTITUTE($C57,";",REPT(" ",100)),
(ROW($1:$10)-1)*100+1,100))&amp;":")+1,99)),
0)
),
"全部正确"
)
)</f>
        <v>全部正确</v>
      </c>
    </row>
    <row r="58" spans="1:6" x14ac:dyDescent="0.3">
      <c r="A58" s="3" t="s">
        <v>68</v>
      </c>
      <c r="B58" s="2">
        <v>1</v>
      </c>
      <c r="C58" s="3" t="s">
        <v>180</v>
      </c>
      <c r="D58" s="2" t="s">
        <v>92</v>
      </c>
      <c r="E58" s="5" cm="1">
        <f t="array" aca="1" ref="E58" ca="1">SUMPRODUCT(
--ISNUMBER(
MATCH(
LEFT(
TRIM(MID(SUBSTITUTE(C58,";",REPT(" ",100)),
(ROW($1:$10)-1)*100+1,100)),
FIND(":",TRIM(MID(SUBSTITUTE(C58,";",REPT(" ",100)),
(ROW($1:$10)-1)*100+1,100))&amp;":")-1),
材料产品列表,0)),
--ISNUMBER(
--MID(
TRIM(MID(SUBSTITUTE(C58,";",REPT(" ",100)),
(ROW($1:$10)-1)*100+1,100)),
FIND(":",TRIM(MID(SUBSTITUTE(C58,";",REPT(" ",100)),
(ROW($1:$10)-1)*100+1,100))&amp;":")+1,99))
)</f>
        <v>2</v>
      </c>
      <c r="F58" s="7" t="str" cm="1">
        <f t="array" aca="1" ref="F58" ca="1">IF(
SUMPRODUCT(
--(
ISNUMBER(MATCH(
LEFT(
TRIM(MID(SUBSTITUTE($C58,";",REPT(" ",100)),
(ROW($1:$10)-1)*100+1,100)),
FIND(":",TRIM(MID(SUBSTITUTE($C58,";",REPT(" ",100)),
(ROW($1:$10)-1)*100+1,100))&amp;":")-1),
材料产品列表,0))
*
ISNUMBER(--MID(
TRIM(MID(SUBSTITUTE($C58,";",REPT(" ",100)),
(ROW($1:$10)-1)*100+1,100)),
FIND(":",TRIM(MID(SUBSTITUTE($C58,";",REPT(" ",100)),
(ROW($1:$10)-1)*100+1,100))&amp;":")+1,99))
)
)
=
LEN($C58)-LEN(SUBSTITUTE($C58,";",""))+1,
"全部正确",
IFERROR(
INDEX(
TRIM(MID(SUBSTITUTE($C58,";",REPT(" ",100)),
(ROW($1:$10)-1)*100+1,100)),
MATCH(0,
ISNUMBER(MATCH(
LEFT(
TRIM(MID(SUBSTITUTE($C58,";",REPT(" ",100)),
(ROW($1:$10)-1)*100+1,100)),
FIND(":",TRIM(MID(SUBSTITUTE($C58,";",REPT(" ",100)),
(ROW($1:$10)-1)*100+1,100))&amp;":")-1),
材料产品列表,0))
*
ISNUMBER(--MID(
TRIM(MID(SUBSTITUTE($C58,";",REPT(" ",100)),
(ROW($1:$10)-1)*100+1,100)),
FIND(":",TRIM(MID(SUBSTITUTE($C58,";",REPT(" ",100)),
(ROW($1:$10)-1)*100+1,100))&amp;":")+1,99)),
0)
),
"全部正确"
)
)</f>
        <v>全部正确</v>
      </c>
    </row>
    <row r="59" spans="1:6" x14ac:dyDescent="0.3">
      <c r="A59" s="3" t="s">
        <v>69</v>
      </c>
      <c r="B59" s="2">
        <v>1</v>
      </c>
      <c r="C59" s="3" t="s">
        <v>181</v>
      </c>
      <c r="D59" s="2" t="s">
        <v>92</v>
      </c>
      <c r="E59" s="5" cm="1">
        <f t="array" aca="1" ref="E59" ca="1">SUMPRODUCT(
--ISNUMBER(
MATCH(
LEFT(
TRIM(MID(SUBSTITUTE(C59,";",REPT(" ",100)),
(ROW($1:$10)-1)*100+1,100)),
FIND(":",TRIM(MID(SUBSTITUTE(C59,";",REPT(" ",100)),
(ROW($1:$10)-1)*100+1,100))&amp;":")-1),
材料产品列表,0)),
--ISNUMBER(
--MID(
TRIM(MID(SUBSTITUTE(C59,";",REPT(" ",100)),
(ROW($1:$10)-1)*100+1,100)),
FIND(":",TRIM(MID(SUBSTITUTE(C59,";",REPT(" ",100)),
(ROW($1:$10)-1)*100+1,100))&amp;":")+1,99))
)</f>
        <v>2</v>
      </c>
      <c r="F59" s="7" t="str" cm="1">
        <f t="array" aca="1" ref="F59" ca="1">IF(
SUMPRODUCT(
--(
ISNUMBER(MATCH(
LEFT(
TRIM(MID(SUBSTITUTE($C59,";",REPT(" ",100)),
(ROW($1:$10)-1)*100+1,100)),
FIND(":",TRIM(MID(SUBSTITUTE($C59,";",REPT(" ",100)),
(ROW($1:$10)-1)*100+1,100))&amp;":")-1),
材料产品列表,0))
*
ISNUMBER(--MID(
TRIM(MID(SUBSTITUTE($C59,";",REPT(" ",100)),
(ROW($1:$10)-1)*100+1,100)),
FIND(":",TRIM(MID(SUBSTITUTE($C59,";",REPT(" ",100)),
(ROW($1:$10)-1)*100+1,100))&amp;":")+1,99))
)
)
=
LEN($C59)-LEN(SUBSTITUTE($C59,";",""))+1,
"全部正确",
IFERROR(
INDEX(
TRIM(MID(SUBSTITUTE($C59,";",REPT(" ",100)),
(ROW($1:$10)-1)*100+1,100)),
MATCH(0,
ISNUMBER(MATCH(
LEFT(
TRIM(MID(SUBSTITUTE($C59,";",REPT(" ",100)),
(ROW($1:$10)-1)*100+1,100)),
FIND(":",TRIM(MID(SUBSTITUTE($C59,";",REPT(" ",100)),
(ROW($1:$10)-1)*100+1,100))&amp;":")-1),
材料产品列表,0))
*
ISNUMBER(--MID(
TRIM(MID(SUBSTITUTE($C59,";",REPT(" ",100)),
(ROW($1:$10)-1)*100+1,100)),
FIND(":",TRIM(MID(SUBSTITUTE($C59,";",REPT(" ",100)),
(ROW($1:$10)-1)*100+1,100))&amp;":")+1,99)),
0)
),
"全部正确"
)
)</f>
        <v>全部正确</v>
      </c>
    </row>
    <row r="60" spans="1:6" x14ac:dyDescent="0.3">
      <c r="A60" s="3" t="s">
        <v>83</v>
      </c>
      <c r="B60" s="2">
        <v>1</v>
      </c>
      <c r="C60" s="3" t="s">
        <v>182</v>
      </c>
      <c r="D60" s="2" t="s">
        <v>91</v>
      </c>
      <c r="E60" s="5" cm="1">
        <f t="array" aca="1" ref="E60" ca="1">SUMPRODUCT(
--ISNUMBER(
MATCH(
LEFT(
TRIM(MID(SUBSTITUTE(C60,";",REPT(" ",100)),
(ROW($1:$10)-1)*100+1,100)),
FIND(":",TRIM(MID(SUBSTITUTE(C60,";",REPT(" ",100)),
(ROW($1:$10)-1)*100+1,100))&amp;":")-1),
材料产品列表,0)),
--ISNUMBER(
--MID(
TRIM(MID(SUBSTITUTE(C60,";",REPT(" ",100)),
(ROW($1:$10)-1)*100+1,100)),
FIND(":",TRIM(MID(SUBSTITUTE(C60,";",REPT(" ",100)),
(ROW($1:$10)-1)*100+1,100))&amp;":")+1,99))
)</f>
        <v>2</v>
      </c>
      <c r="F60" s="7" t="str" cm="1">
        <f t="array" aca="1" ref="F60" ca="1">IF(
SUMPRODUCT(
--(
ISNUMBER(MATCH(
LEFT(
TRIM(MID(SUBSTITUTE($C60,";",REPT(" ",100)),
(ROW($1:$10)-1)*100+1,100)),
FIND(":",TRIM(MID(SUBSTITUTE($C60,";",REPT(" ",100)),
(ROW($1:$10)-1)*100+1,100))&amp;":")-1),
材料产品列表,0))
*
ISNUMBER(--MID(
TRIM(MID(SUBSTITUTE($C60,";",REPT(" ",100)),
(ROW($1:$10)-1)*100+1,100)),
FIND(":",TRIM(MID(SUBSTITUTE($C60,";",REPT(" ",100)),
(ROW($1:$10)-1)*100+1,100))&amp;":")+1,99))
)
)
=
LEN($C60)-LEN(SUBSTITUTE($C60,";",""))+1,
"全部正确",
IFERROR(
INDEX(
TRIM(MID(SUBSTITUTE($C60,";",REPT(" ",100)),
(ROW($1:$10)-1)*100+1,100)),
MATCH(0,
ISNUMBER(MATCH(
LEFT(
TRIM(MID(SUBSTITUTE($C60,";",REPT(" ",100)),
(ROW($1:$10)-1)*100+1,100)),
FIND(":",TRIM(MID(SUBSTITUTE($C60,";",REPT(" ",100)),
(ROW($1:$10)-1)*100+1,100))&amp;":")-1),
材料产品列表,0))
*
ISNUMBER(--MID(
TRIM(MID(SUBSTITUTE($C60,";",REPT(" ",100)),
(ROW($1:$10)-1)*100+1,100)),
FIND(":",TRIM(MID(SUBSTITUTE($C60,";",REPT(" ",100)),
(ROW($1:$10)-1)*100+1,100))&amp;":")+1,99)),
0)
),
"全部正确"
)
)</f>
        <v>全部正确</v>
      </c>
    </row>
    <row r="61" spans="1:6" x14ac:dyDescent="0.3">
      <c r="A61" s="3" t="s">
        <v>70</v>
      </c>
      <c r="B61" s="2">
        <v>1</v>
      </c>
      <c r="C61" s="3" t="s">
        <v>183</v>
      </c>
      <c r="D61" s="2" t="s">
        <v>91</v>
      </c>
      <c r="E61" s="5" cm="1">
        <f t="array" aca="1" ref="E61" ca="1">SUMPRODUCT(
--ISNUMBER(
MATCH(
LEFT(
TRIM(MID(SUBSTITUTE(C61,";",REPT(" ",100)),
(ROW($1:$10)-1)*100+1,100)),
FIND(":",TRIM(MID(SUBSTITUTE(C61,";",REPT(" ",100)),
(ROW($1:$10)-1)*100+1,100))&amp;":")-1),
材料产品列表,0)),
--ISNUMBER(
--MID(
TRIM(MID(SUBSTITUTE(C61,";",REPT(" ",100)),
(ROW($1:$10)-1)*100+1,100)),
FIND(":",TRIM(MID(SUBSTITUTE(C61,";",REPT(" ",100)),
(ROW($1:$10)-1)*100+1,100))&amp;":")+1,99))
)</f>
        <v>2</v>
      </c>
      <c r="F61" s="7" t="str" cm="1">
        <f t="array" aca="1" ref="F61" ca="1">IF(
SUMPRODUCT(
--(
ISNUMBER(MATCH(
LEFT(
TRIM(MID(SUBSTITUTE($C61,";",REPT(" ",100)),
(ROW($1:$10)-1)*100+1,100)),
FIND(":",TRIM(MID(SUBSTITUTE($C61,";",REPT(" ",100)),
(ROW($1:$10)-1)*100+1,100))&amp;":")-1),
材料产品列表,0))
*
ISNUMBER(--MID(
TRIM(MID(SUBSTITUTE($C61,";",REPT(" ",100)),
(ROW($1:$10)-1)*100+1,100)),
FIND(":",TRIM(MID(SUBSTITUTE($C61,";",REPT(" ",100)),
(ROW($1:$10)-1)*100+1,100))&amp;":")+1,99))
)
)
=
LEN($C61)-LEN(SUBSTITUTE($C61,";",""))+1,
"全部正确",
IFERROR(
INDEX(
TRIM(MID(SUBSTITUTE($C61,";",REPT(" ",100)),
(ROW($1:$10)-1)*100+1,100)),
MATCH(0,
ISNUMBER(MATCH(
LEFT(
TRIM(MID(SUBSTITUTE($C61,";",REPT(" ",100)),
(ROW($1:$10)-1)*100+1,100)),
FIND(":",TRIM(MID(SUBSTITUTE($C61,";",REPT(" ",100)),
(ROW($1:$10)-1)*100+1,100))&amp;":")-1),
材料产品列表,0))
*
ISNUMBER(--MID(
TRIM(MID(SUBSTITUTE($C61,";",REPT(" ",100)),
(ROW($1:$10)-1)*100+1,100)),
FIND(":",TRIM(MID(SUBSTITUTE($C61,";",REPT(" ",100)),
(ROW($1:$10)-1)*100+1,100))&amp;":")+1,99)),
0)
),
"全部正确"
)
)</f>
        <v>全部正确</v>
      </c>
    </row>
    <row r="62" spans="1:6" x14ac:dyDescent="0.3">
      <c r="A62" s="8" t="s">
        <v>211</v>
      </c>
      <c r="B62" s="2">
        <v>1</v>
      </c>
      <c r="C62" s="3" t="s">
        <v>223</v>
      </c>
      <c r="D62" s="2" t="s">
        <v>209</v>
      </c>
      <c r="E62" s="5" cm="1">
        <f t="array" aca="1" ref="E62" ca="1">SUMPRODUCT(
--ISNUMBER(
MATCH(
LEFT(
TRIM(MID(SUBSTITUTE(C62,";",REPT(" ",100)),
(ROW($1:$10)-1)*100+1,100)),
FIND(":",TRIM(MID(SUBSTITUTE(C62,";",REPT(" ",100)),
(ROW($1:$10)-1)*100+1,100))&amp;":")-1),
材料产品列表,0)),
--ISNUMBER(
--MID(
TRIM(MID(SUBSTITUTE(C62,";",REPT(" ",100)),
(ROW($1:$10)-1)*100+1,100)),
FIND(":",TRIM(MID(SUBSTITUTE(C62,";",REPT(" ",100)),
(ROW($1:$10)-1)*100+1,100))&amp;":")+1,99))
)</f>
        <v>1</v>
      </c>
      <c r="F62" s="7" t="str" cm="1">
        <f t="array" aca="1" ref="F62" ca="1">IF(
SUMPRODUCT(
--(
ISNUMBER(MATCH(
LEFT(
TRIM(MID(SUBSTITUTE($C62,";",REPT(" ",100)),
(ROW($1:$10)-1)*100+1,100)),
FIND(":",TRIM(MID(SUBSTITUTE($C62,";",REPT(" ",100)),
(ROW($1:$10)-1)*100+1,100))&amp;":")-1),
材料产品列表,0))
*
ISNUMBER(--MID(
TRIM(MID(SUBSTITUTE($C62,";",REPT(" ",100)),
(ROW($1:$10)-1)*100+1,100)),
FIND(":",TRIM(MID(SUBSTITUTE($C62,";",REPT(" ",100)),
(ROW($1:$10)-1)*100+1,100))&amp;":")+1,99))
)
)
=
LEN($C62)-LEN(SUBSTITUTE($C62,";",""))+1,
"全部正确",
IFERROR(
INDEX(
TRIM(MID(SUBSTITUTE($C62,";",REPT(" ",100)),
(ROW($1:$10)-1)*100+1,100)),
MATCH(0,
ISNUMBER(MATCH(
LEFT(
TRIM(MID(SUBSTITUTE($C62,";",REPT(" ",100)),
(ROW($1:$10)-1)*100+1,100)),
FIND(":",TRIM(MID(SUBSTITUTE($C62,";",REPT(" ",100)),
(ROW($1:$10)-1)*100+1,100))&amp;":")-1),
材料产品列表,0))
*
ISNUMBER(--MID(
TRIM(MID(SUBSTITUTE($C62,";",REPT(" ",100)),
(ROW($1:$10)-1)*100+1,100)),
FIND(":",TRIM(MID(SUBSTITUTE($C62,";",REPT(" ",100)),
(ROW($1:$10)-1)*100+1,100))&amp;":")+1,99)),
0)
),
"全部正确"
)
)</f>
        <v>全部正确</v>
      </c>
    </row>
    <row r="63" spans="1:6" x14ac:dyDescent="0.3">
      <c r="A63" s="8" t="s">
        <v>212</v>
      </c>
      <c r="B63" s="2">
        <v>1</v>
      </c>
      <c r="C63" s="3" t="s">
        <v>224</v>
      </c>
      <c r="D63" s="2" t="s">
        <v>209</v>
      </c>
      <c r="E63" s="5" cm="1">
        <f t="array" aca="1" ref="E63" ca="1">SUMPRODUCT(
--ISNUMBER(
MATCH(
LEFT(
TRIM(MID(SUBSTITUTE(C63,";",REPT(" ",100)),
(ROW($1:$10)-1)*100+1,100)),
FIND(":",TRIM(MID(SUBSTITUTE(C63,";",REPT(" ",100)),
(ROW($1:$10)-1)*100+1,100))&amp;":")-1),
材料产品列表,0)),
--ISNUMBER(
--MID(
TRIM(MID(SUBSTITUTE(C63,";",REPT(" ",100)),
(ROW($1:$10)-1)*100+1,100)),
FIND(":",TRIM(MID(SUBSTITUTE(C63,";",REPT(" ",100)),
(ROW($1:$10)-1)*100+1,100))&amp;":")+1,99))
)</f>
        <v>1</v>
      </c>
      <c r="F63" s="7" t="str" cm="1">
        <f t="array" aca="1" ref="F63" ca="1">IF(
SUMPRODUCT(
--(
ISNUMBER(MATCH(
LEFT(
TRIM(MID(SUBSTITUTE($C63,";",REPT(" ",100)),
(ROW($1:$10)-1)*100+1,100)),
FIND(":",TRIM(MID(SUBSTITUTE($C63,";",REPT(" ",100)),
(ROW($1:$10)-1)*100+1,100))&amp;":")-1),
材料产品列表,0))
*
ISNUMBER(--MID(
TRIM(MID(SUBSTITUTE($C63,";",REPT(" ",100)),
(ROW($1:$10)-1)*100+1,100)),
FIND(":",TRIM(MID(SUBSTITUTE($C63,";",REPT(" ",100)),
(ROW($1:$10)-1)*100+1,100))&amp;":")+1,99))
)
)
=
LEN($C63)-LEN(SUBSTITUTE($C63,";",""))+1,
"全部正确",
IFERROR(
INDEX(
TRIM(MID(SUBSTITUTE($C63,";",REPT(" ",100)),
(ROW($1:$10)-1)*100+1,100)),
MATCH(0,
ISNUMBER(MATCH(
LEFT(
TRIM(MID(SUBSTITUTE($C63,";",REPT(" ",100)),
(ROW($1:$10)-1)*100+1,100)),
FIND(":",TRIM(MID(SUBSTITUTE($C63,";",REPT(" ",100)),
(ROW($1:$10)-1)*100+1,100))&amp;":")-1),
材料产品列表,0))
*
ISNUMBER(--MID(
TRIM(MID(SUBSTITUTE($C63,";",REPT(" ",100)),
(ROW($1:$10)-1)*100+1,100)),
FIND(":",TRIM(MID(SUBSTITUTE($C63,";",REPT(" ",100)),
(ROW($1:$10)-1)*100+1,100))&amp;":")+1,99)),
0)
),
"全部正确"
)
)</f>
        <v>全部正确</v>
      </c>
    </row>
    <row r="64" spans="1:6" x14ac:dyDescent="0.3">
      <c r="A64" s="8" t="s">
        <v>213</v>
      </c>
      <c r="B64" s="2">
        <v>1</v>
      </c>
      <c r="C64" s="3" t="s">
        <v>225</v>
      </c>
      <c r="D64" s="2" t="s">
        <v>209</v>
      </c>
      <c r="E64" s="5" cm="1">
        <f t="array" aca="1" ref="E64" ca="1">SUMPRODUCT(
--ISNUMBER(
MATCH(
LEFT(
TRIM(MID(SUBSTITUTE(C64,";",REPT(" ",100)),
(ROW($1:$10)-1)*100+1,100)),
FIND(":",TRIM(MID(SUBSTITUTE(C64,";",REPT(" ",100)),
(ROW($1:$10)-1)*100+1,100))&amp;":")-1),
材料产品列表,0)),
--ISNUMBER(
--MID(
TRIM(MID(SUBSTITUTE(C64,";",REPT(" ",100)),
(ROW($1:$10)-1)*100+1,100)),
FIND(":",TRIM(MID(SUBSTITUTE(C64,";",REPT(" ",100)),
(ROW($1:$10)-1)*100+1,100))&amp;":")+1,99))
)</f>
        <v>1</v>
      </c>
      <c r="F64" s="7" t="str" cm="1">
        <f t="array" aca="1" ref="F64" ca="1">IF(
SUMPRODUCT(
--(
ISNUMBER(MATCH(
LEFT(
TRIM(MID(SUBSTITUTE($C64,";",REPT(" ",100)),
(ROW($1:$10)-1)*100+1,100)),
FIND(":",TRIM(MID(SUBSTITUTE($C64,";",REPT(" ",100)),
(ROW($1:$10)-1)*100+1,100))&amp;":")-1),
材料产品列表,0))
*
ISNUMBER(--MID(
TRIM(MID(SUBSTITUTE($C64,";",REPT(" ",100)),
(ROW($1:$10)-1)*100+1,100)),
FIND(":",TRIM(MID(SUBSTITUTE($C64,";",REPT(" ",100)),
(ROW($1:$10)-1)*100+1,100))&amp;":")+1,99))
)
)
=
LEN($C64)-LEN(SUBSTITUTE($C64,";",""))+1,
"全部正确",
IFERROR(
INDEX(
TRIM(MID(SUBSTITUTE($C64,";",REPT(" ",100)),
(ROW($1:$10)-1)*100+1,100)),
MATCH(0,
ISNUMBER(MATCH(
LEFT(
TRIM(MID(SUBSTITUTE($C64,";",REPT(" ",100)),
(ROW($1:$10)-1)*100+1,100)),
FIND(":",TRIM(MID(SUBSTITUTE($C64,";",REPT(" ",100)),
(ROW($1:$10)-1)*100+1,100))&amp;":")-1),
材料产品列表,0))
*
ISNUMBER(--MID(
TRIM(MID(SUBSTITUTE($C64,";",REPT(" ",100)),
(ROW($1:$10)-1)*100+1,100)),
FIND(":",TRIM(MID(SUBSTITUTE($C64,";",REPT(" ",100)),
(ROW($1:$10)-1)*100+1,100))&amp;":")+1,99)),
0)
),
"全部正确"
)
)</f>
        <v>全部正确</v>
      </c>
    </row>
    <row r="65" spans="1:6" x14ac:dyDescent="0.3">
      <c r="A65" s="8" t="s">
        <v>215</v>
      </c>
      <c r="B65" s="2">
        <v>1</v>
      </c>
      <c r="C65" s="3" t="s">
        <v>226</v>
      </c>
      <c r="D65" s="2" t="s">
        <v>209</v>
      </c>
      <c r="E65" s="5" cm="1">
        <f t="array" aca="1" ref="E65" ca="1">SUMPRODUCT(
--ISNUMBER(
MATCH(
LEFT(
TRIM(MID(SUBSTITUTE(C65,";",REPT(" ",100)),
(ROW($1:$10)-1)*100+1,100)),
FIND(":",TRIM(MID(SUBSTITUTE(C65,";",REPT(" ",100)),
(ROW($1:$10)-1)*100+1,100))&amp;":")-1),
材料产品列表,0)),
--ISNUMBER(
--MID(
TRIM(MID(SUBSTITUTE(C65,";",REPT(" ",100)),
(ROW($1:$10)-1)*100+1,100)),
FIND(":",TRIM(MID(SUBSTITUTE(C65,";",REPT(" ",100)),
(ROW($1:$10)-1)*100+1,100))&amp;":")+1,99))
)</f>
        <v>1</v>
      </c>
      <c r="F65" s="7" t="str" cm="1">
        <f t="array" aca="1" ref="F65" ca="1">IF(
SUMPRODUCT(
--(
ISNUMBER(MATCH(
LEFT(
TRIM(MID(SUBSTITUTE($C65,";",REPT(" ",100)),
(ROW($1:$10)-1)*100+1,100)),
FIND(":",TRIM(MID(SUBSTITUTE($C65,";",REPT(" ",100)),
(ROW($1:$10)-1)*100+1,100))&amp;":")-1),
材料产品列表,0))
*
ISNUMBER(--MID(
TRIM(MID(SUBSTITUTE($C65,";",REPT(" ",100)),
(ROW($1:$10)-1)*100+1,100)),
FIND(":",TRIM(MID(SUBSTITUTE($C65,";",REPT(" ",100)),
(ROW($1:$10)-1)*100+1,100))&amp;":")+1,99))
)
)
=
LEN($C65)-LEN(SUBSTITUTE($C65,";",""))+1,
"全部正确",
IFERROR(
INDEX(
TRIM(MID(SUBSTITUTE($C65,";",REPT(" ",100)),
(ROW($1:$10)-1)*100+1,100)),
MATCH(0,
ISNUMBER(MATCH(
LEFT(
TRIM(MID(SUBSTITUTE($C65,";",REPT(" ",100)),
(ROW($1:$10)-1)*100+1,100)),
FIND(":",TRIM(MID(SUBSTITUTE($C65,";",REPT(" ",100)),
(ROW($1:$10)-1)*100+1,100))&amp;":")-1),
材料产品列表,0))
*
ISNUMBER(--MID(
TRIM(MID(SUBSTITUTE($C65,";",REPT(" ",100)),
(ROW($1:$10)-1)*100+1,100)),
FIND(":",TRIM(MID(SUBSTITUTE($C65,";",REPT(" ",100)),
(ROW($1:$10)-1)*100+1,100))&amp;":")+1,99)),
0)
),
"全部正确"
)
)</f>
        <v>全部正确</v>
      </c>
    </row>
    <row r="66" spans="1:6" x14ac:dyDescent="0.3">
      <c r="A66" s="8" t="s">
        <v>214</v>
      </c>
      <c r="B66" s="2">
        <v>1</v>
      </c>
      <c r="C66" s="3" t="s">
        <v>227</v>
      </c>
      <c r="D66" s="2" t="s">
        <v>207</v>
      </c>
      <c r="E66" s="5" cm="1">
        <f t="array" aca="1" ref="E66" ca="1">SUMPRODUCT(
--ISNUMBER(
MATCH(
LEFT(
TRIM(MID(SUBSTITUTE(C66,";",REPT(" ",100)),
(ROW($1:$10)-1)*100+1,100)),
FIND(":",TRIM(MID(SUBSTITUTE(C66,";",REPT(" ",100)),
(ROW($1:$10)-1)*100+1,100))&amp;":")-1),
材料产品列表,0)),
--ISNUMBER(
--MID(
TRIM(MID(SUBSTITUTE(C66,";",REPT(" ",100)),
(ROW($1:$10)-1)*100+1,100)),
FIND(":",TRIM(MID(SUBSTITUTE(C66,";",REPT(" ",100)),
(ROW($1:$10)-1)*100+1,100))&amp;":")+1,99))
)</f>
        <v>1</v>
      </c>
      <c r="F66" s="7" t="str" cm="1">
        <f t="array" aca="1" ref="F66" ca="1">IF(
SUMPRODUCT(
--(
ISNUMBER(MATCH(
LEFT(
TRIM(MID(SUBSTITUTE($C66,";",REPT(" ",100)),
(ROW($1:$10)-1)*100+1,100)),
FIND(":",TRIM(MID(SUBSTITUTE($C66,";",REPT(" ",100)),
(ROW($1:$10)-1)*100+1,100))&amp;":")-1),
材料产品列表,0))
*
ISNUMBER(--MID(
TRIM(MID(SUBSTITUTE($C66,";",REPT(" ",100)),
(ROW($1:$10)-1)*100+1,100)),
FIND(":",TRIM(MID(SUBSTITUTE($C66,";",REPT(" ",100)),
(ROW($1:$10)-1)*100+1,100))&amp;":")+1,99))
)
)
=
LEN($C66)-LEN(SUBSTITUTE($C66,";",""))+1,
"全部正确",
IFERROR(
INDEX(
TRIM(MID(SUBSTITUTE($C66,";",REPT(" ",100)),
(ROW($1:$10)-1)*100+1,100)),
MATCH(0,
ISNUMBER(MATCH(
LEFT(
TRIM(MID(SUBSTITUTE($C66,";",REPT(" ",100)),
(ROW($1:$10)-1)*100+1,100)),
FIND(":",TRIM(MID(SUBSTITUTE($C66,";",REPT(" ",100)),
(ROW($1:$10)-1)*100+1,100))&amp;":")-1),
材料产品列表,0))
*
ISNUMBER(--MID(
TRIM(MID(SUBSTITUTE($C66,";",REPT(" ",100)),
(ROW($1:$10)-1)*100+1,100)),
FIND(":",TRIM(MID(SUBSTITUTE($C66,";",REPT(" ",100)),
(ROW($1:$10)-1)*100+1,100))&amp;":")+1,99)),
0)
),
"全部正确"
)
)</f>
        <v>全部正确</v>
      </c>
    </row>
    <row r="67" spans="1:6" x14ac:dyDescent="0.3">
      <c r="A67" s="8" t="s">
        <v>216</v>
      </c>
      <c r="B67" s="4">
        <v>1</v>
      </c>
      <c r="C67" s="3" t="s">
        <v>228</v>
      </c>
      <c r="D67" s="2" t="s">
        <v>207</v>
      </c>
      <c r="E67" s="5" cm="1">
        <f t="array" aca="1" ref="E67" ca="1">SUMPRODUCT(
--ISNUMBER(
MATCH(
LEFT(
TRIM(MID(SUBSTITUTE(C67,";",REPT(" ",100)),
(ROW($1:$10)-1)*100+1,100)),
FIND(":",TRIM(MID(SUBSTITUTE(C67,";",REPT(" ",100)),
(ROW($1:$10)-1)*100+1,100))&amp;":")-1),
材料产品列表,0)),
--ISNUMBER(
--MID(
TRIM(MID(SUBSTITUTE(C67,";",REPT(" ",100)),
(ROW($1:$10)-1)*100+1,100)),
FIND(":",TRIM(MID(SUBSTITUTE(C67,";",REPT(" ",100)),
(ROW($1:$10)-1)*100+1,100))&amp;":")+1,99))
)</f>
        <v>1</v>
      </c>
      <c r="F67" s="7" t="str" cm="1">
        <f t="array" aca="1" ref="F67" ca="1">IF(
SUMPRODUCT(
--(
ISNUMBER(MATCH(
LEFT(
TRIM(MID(SUBSTITUTE($C67,";",REPT(" ",100)),
(ROW($1:$10)-1)*100+1,100)),
FIND(":",TRIM(MID(SUBSTITUTE($C67,";",REPT(" ",100)),
(ROW($1:$10)-1)*100+1,100))&amp;":")-1),
材料产品列表,0))
*
ISNUMBER(--MID(
TRIM(MID(SUBSTITUTE($C67,";",REPT(" ",100)),
(ROW($1:$10)-1)*100+1,100)),
FIND(":",TRIM(MID(SUBSTITUTE($C67,";",REPT(" ",100)),
(ROW($1:$10)-1)*100+1,100))&amp;":")+1,99))
)
)
=
LEN($C67)-LEN(SUBSTITUTE($C67,";",""))+1,
"全部正确",
IFERROR(
INDEX(
TRIM(MID(SUBSTITUTE($C67,";",REPT(" ",100)),
(ROW($1:$10)-1)*100+1,100)),
MATCH(0,
ISNUMBER(MATCH(
LEFT(
TRIM(MID(SUBSTITUTE($C67,";",REPT(" ",100)),
(ROW($1:$10)-1)*100+1,100)),
FIND(":",TRIM(MID(SUBSTITUTE($C67,";",REPT(" ",100)),
(ROW($1:$10)-1)*100+1,100))&amp;":")-1),
材料产品列表,0))
*
ISNUMBER(--MID(
TRIM(MID(SUBSTITUTE($C67,";",REPT(" ",100)),
(ROW($1:$10)-1)*100+1,100)),
FIND(":",TRIM(MID(SUBSTITUTE($C67,";",REPT(" ",100)),
(ROW($1:$10)-1)*100+1,100))&amp;":")+1,99)),
0)
),
"全部正确"
)
)</f>
        <v>全部正确</v>
      </c>
    </row>
    <row r="69" spans="1:6" x14ac:dyDescent="0.3">
      <c r="A69" s="8"/>
    </row>
    <row r="71" spans="1:6" x14ac:dyDescent="0.3">
      <c r="A71" s="8"/>
    </row>
    <row r="73" spans="1:6" x14ac:dyDescent="0.3">
      <c r="A73" s="3"/>
    </row>
    <row r="74" spans="1:6" x14ac:dyDescent="0.3">
      <c r="A74" s="3"/>
    </row>
    <row r="75" spans="1:6" x14ac:dyDescent="0.3">
      <c r="A75" s="3"/>
    </row>
    <row r="76" spans="1:6" x14ac:dyDescent="0.3">
      <c r="A76" s="3"/>
    </row>
    <row r="77" spans="1:6" x14ac:dyDescent="0.3">
      <c r="A77" s="3"/>
    </row>
    <row r="78" spans="1:6" x14ac:dyDescent="0.3">
      <c r="A78" s="3"/>
    </row>
    <row r="79" spans="1:6" x14ac:dyDescent="0.3">
      <c r="A79" s="3"/>
    </row>
    <row r="80" spans="1:6" x14ac:dyDescent="0.3">
      <c r="A80" s="3"/>
    </row>
    <row r="81" spans="1:1" x14ac:dyDescent="0.3">
      <c r="A81" s="3"/>
    </row>
    <row r="82" spans="1:1" x14ac:dyDescent="0.3">
      <c r="A82" s="3"/>
    </row>
    <row r="83" spans="1:1" x14ac:dyDescent="0.3">
      <c r="A83" s="3"/>
    </row>
    <row r="84" spans="1:1" x14ac:dyDescent="0.3">
      <c r="A84" s="3"/>
    </row>
    <row r="85" spans="1:1" x14ac:dyDescent="0.3">
      <c r="A85" s="3"/>
    </row>
    <row r="86" spans="1:1" x14ac:dyDescent="0.3">
      <c r="A86" s="3"/>
    </row>
    <row r="87" spans="1:1" x14ac:dyDescent="0.3">
      <c r="A87" s="3"/>
    </row>
    <row r="88" spans="1:1" x14ac:dyDescent="0.3">
      <c r="A88" s="3"/>
    </row>
    <row r="89" spans="1:1" x14ac:dyDescent="0.3">
      <c r="A89" s="3"/>
    </row>
    <row r="90" spans="1:1" x14ac:dyDescent="0.3">
      <c r="A90" s="3"/>
    </row>
    <row r="91" spans="1:1" x14ac:dyDescent="0.3">
      <c r="A91" s="3"/>
    </row>
    <row r="92" spans="1:1" x14ac:dyDescent="0.3">
      <c r="A92" s="3"/>
    </row>
    <row r="93" spans="1:1" x14ac:dyDescent="0.3">
      <c r="A93" s="3"/>
    </row>
    <row r="94" spans="1:1" x14ac:dyDescent="0.3">
      <c r="A94" s="3"/>
    </row>
    <row r="95" spans="1:1" x14ac:dyDescent="0.3">
      <c r="A95" s="3"/>
    </row>
    <row r="96" spans="1:1" x14ac:dyDescent="0.3">
      <c r="A96" s="3"/>
    </row>
    <row r="97" spans="1:1" x14ac:dyDescent="0.3">
      <c r="A97" s="3"/>
    </row>
    <row r="98" spans="1:1" x14ac:dyDescent="0.3">
      <c r="A98" s="3"/>
    </row>
    <row r="99" spans="1:1" x14ac:dyDescent="0.3">
      <c r="A99" s="3"/>
    </row>
    <row r="100" spans="1:1" x14ac:dyDescent="0.3">
      <c r="A100" s="3"/>
    </row>
    <row r="101" spans="1:1" x14ac:dyDescent="0.3">
      <c r="A101" s="3"/>
    </row>
    <row r="102" spans="1:1" x14ac:dyDescent="0.3">
      <c r="A102" s="3"/>
    </row>
    <row r="103" spans="1:1" x14ac:dyDescent="0.3">
      <c r="A103" s="3"/>
    </row>
    <row r="104" spans="1:1" x14ac:dyDescent="0.3">
      <c r="A104" s="3"/>
    </row>
    <row r="105" spans="1:1" x14ac:dyDescent="0.3">
      <c r="A105" s="3"/>
    </row>
    <row r="106" spans="1:1" x14ac:dyDescent="0.3">
      <c r="A106" s="3"/>
    </row>
    <row r="107" spans="1:1" x14ac:dyDescent="0.3">
      <c r="A107" s="3"/>
    </row>
    <row r="108" spans="1:1" x14ac:dyDescent="0.3">
      <c r="A108" s="3"/>
    </row>
    <row r="109" spans="1:1" x14ac:dyDescent="0.3">
      <c r="A109" s="3"/>
    </row>
    <row r="110" spans="1:1" x14ac:dyDescent="0.3">
      <c r="A110" s="3"/>
    </row>
    <row r="111" spans="1:1" x14ac:dyDescent="0.3">
      <c r="A111" s="3"/>
    </row>
    <row r="112" spans="1:1" x14ac:dyDescent="0.3">
      <c r="A112" s="3"/>
    </row>
    <row r="113" spans="1:1" x14ac:dyDescent="0.3">
      <c r="A113" s="3"/>
    </row>
    <row r="114" spans="1:1" x14ac:dyDescent="0.3">
      <c r="A114" s="3"/>
    </row>
    <row r="115" spans="1:1" x14ac:dyDescent="0.3">
      <c r="A115" s="3"/>
    </row>
    <row r="116" spans="1:1" x14ac:dyDescent="0.3">
      <c r="A116" s="3"/>
    </row>
    <row r="117" spans="1:1" x14ac:dyDescent="0.3">
      <c r="A117" s="3"/>
    </row>
    <row r="118" spans="1:1" x14ac:dyDescent="0.3">
      <c r="A118" s="3"/>
    </row>
    <row r="119" spans="1:1" x14ac:dyDescent="0.3">
      <c r="A119" s="3"/>
    </row>
    <row r="120" spans="1:1" x14ac:dyDescent="0.3">
      <c r="A120" s="3"/>
    </row>
    <row r="121" spans="1:1" x14ac:dyDescent="0.3">
      <c r="A121" s="3"/>
    </row>
    <row r="122" spans="1:1" x14ac:dyDescent="0.3">
      <c r="A122" s="3"/>
    </row>
    <row r="123" spans="1:1" x14ac:dyDescent="0.3">
      <c r="A123" s="3"/>
    </row>
    <row r="124" spans="1:1" x14ac:dyDescent="0.3">
      <c r="A124" s="3"/>
    </row>
    <row r="125" spans="1:1" x14ac:dyDescent="0.3">
      <c r="A125" s="3"/>
    </row>
    <row r="126" spans="1:1" x14ac:dyDescent="0.3">
      <c r="A126" s="3"/>
    </row>
    <row r="127" spans="1:1" x14ac:dyDescent="0.3">
      <c r="A127" s="3"/>
    </row>
    <row r="128" spans="1:1" x14ac:dyDescent="0.3">
      <c r="A128" s="3"/>
    </row>
    <row r="129" spans="1:1" x14ac:dyDescent="0.3">
      <c r="A129" s="3"/>
    </row>
    <row r="130" spans="1:1" x14ac:dyDescent="0.3">
      <c r="A130" s="3"/>
    </row>
    <row r="131" spans="1:1" x14ac:dyDescent="0.3">
      <c r="A131" s="3"/>
    </row>
    <row r="132" spans="1:1" x14ac:dyDescent="0.3">
      <c r="A132" s="3"/>
    </row>
    <row r="133" spans="1:1" x14ac:dyDescent="0.3">
      <c r="A133" s="3"/>
    </row>
    <row r="134" spans="1:1" x14ac:dyDescent="0.3">
      <c r="A134" s="3"/>
    </row>
    <row r="135" spans="1:1" x14ac:dyDescent="0.3">
      <c r="A135" s="3"/>
    </row>
    <row r="136" spans="1:1" x14ac:dyDescent="0.3">
      <c r="A136" s="3"/>
    </row>
    <row r="137" spans="1:1" x14ac:dyDescent="0.3">
      <c r="A137" s="3"/>
    </row>
    <row r="138" spans="1:1" x14ac:dyDescent="0.3">
      <c r="A138" s="3"/>
    </row>
    <row r="139" spans="1:1" x14ac:dyDescent="0.3">
      <c r="A139" s="3"/>
    </row>
    <row r="140" spans="1:1" x14ac:dyDescent="0.3">
      <c r="A140" s="3"/>
    </row>
    <row r="141" spans="1:1" x14ac:dyDescent="0.3">
      <c r="A141" s="3"/>
    </row>
    <row r="142" spans="1:1" x14ac:dyDescent="0.3">
      <c r="A142" s="3"/>
    </row>
    <row r="143" spans="1:1" x14ac:dyDescent="0.3">
      <c r="A143" s="3"/>
    </row>
    <row r="144" spans="1:1" x14ac:dyDescent="0.3">
      <c r="A144" s="3"/>
    </row>
    <row r="145" spans="1:1" x14ac:dyDescent="0.3">
      <c r="A145" s="3"/>
    </row>
    <row r="146" spans="1:1" x14ac:dyDescent="0.3">
      <c r="A146" s="3"/>
    </row>
    <row r="147" spans="1:1" x14ac:dyDescent="0.3">
      <c r="A147" s="3"/>
    </row>
    <row r="148" spans="1:1" x14ac:dyDescent="0.3">
      <c r="A148" s="3"/>
    </row>
    <row r="149" spans="1:1" x14ac:dyDescent="0.3">
      <c r="A149" s="3"/>
    </row>
    <row r="150" spans="1:1" x14ac:dyDescent="0.3">
      <c r="A150" s="3"/>
    </row>
    <row r="151" spans="1:1" x14ac:dyDescent="0.3">
      <c r="A151" s="3"/>
    </row>
    <row r="152" spans="1:1" x14ac:dyDescent="0.3">
      <c r="A152" s="3"/>
    </row>
    <row r="153" spans="1:1" x14ac:dyDescent="0.3">
      <c r="A153" s="3"/>
    </row>
    <row r="154" spans="1:1" x14ac:dyDescent="0.3">
      <c r="A154" s="3"/>
    </row>
    <row r="155" spans="1:1" x14ac:dyDescent="0.3">
      <c r="A155" s="3"/>
    </row>
    <row r="156" spans="1:1" x14ac:dyDescent="0.3">
      <c r="A156" s="3"/>
    </row>
    <row r="157" spans="1:1" x14ac:dyDescent="0.3">
      <c r="A157" s="3"/>
    </row>
    <row r="158" spans="1:1" x14ac:dyDescent="0.3">
      <c r="A158" s="3"/>
    </row>
    <row r="159" spans="1:1" x14ac:dyDescent="0.3">
      <c r="A159" s="3"/>
    </row>
    <row r="160" spans="1:1" x14ac:dyDescent="0.3">
      <c r="A160" s="3"/>
    </row>
    <row r="161" spans="1:1" x14ac:dyDescent="0.3">
      <c r="A161" s="3"/>
    </row>
    <row r="162" spans="1:1" x14ac:dyDescent="0.3">
      <c r="A162" s="3"/>
    </row>
    <row r="163" spans="1:1" x14ac:dyDescent="0.3">
      <c r="A163" s="3"/>
    </row>
    <row r="164" spans="1:1" x14ac:dyDescent="0.3">
      <c r="A164" s="3"/>
    </row>
    <row r="165" spans="1:1" x14ac:dyDescent="0.3">
      <c r="A165" s="3"/>
    </row>
    <row r="166" spans="1:1" x14ac:dyDescent="0.3">
      <c r="A166" s="3"/>
    </row>
    <row r="167" spans="1:1" x14ac:dyDescent="0.3">
      <c r="A167" s="3"/>
    </row>
    <row r="168" spans="1:1" x14ac:dyDescent="0.3">
      <c r="A168" s="3"/>
    </row>
    <row r="169" spans="1:1" x14ac:dyDescent="0.3">
      <c r="A169" s="3"/>
    </row>
    <row r="170" spans="1:1" x14ac:dyDescent="0.3">
      <c r="A170" s="3"/>
    </row>
    <row r="171" spans="1:1" x14ac:dyDescent="0.3">
      <c r="A171" s="3"/>
    </row>
    <row r="172" spans="1:1" x14ac:dyDescent="0.3">
      <c r="A172" s="3"/>
    </row>
    <row r="173" spans="1:1" x14ac:dyDescent="0.3">
      <c r="A173" s="3"/>
    </row>
    <row r="174" spans="1:1" x14ac:dyDescent="0.3">
      <c r="A174" s="3"/>
    </row>
    <row r="175" spans="1:1" x14ac:dyDescent="0.3">
      <c r="A175" s="3"/>
    </row>
    <row r="176" spans="1:1" x14ac:dyDescent="0.3">
      <c r="A176" s="3"/>
    </row>
    <row r="177" spans="1:1" x14ac:dyDescent="0.3">
      <c r="A177" s="3"/>
    </row>
    <row r="178" spans="1:1" x14ac:dyDescent="0.3">
      <c r="A178" s="3"/>
    </row>
    <row r="179" spans="1:1" x14ac:dyDescent="0.3">
      <c r="A179" s="3"/>
    </row>
    <row r="180" spans="1:1" x14ac:dyDescent="0.3">
      <c r="A180" s="3"/>
    </row>
    <row r="181" spans="1:1" x14ac:dyDescent="0.3">
      <c r="A181" s="3"/>
    </row>
    <row r="182" spans="1:1" x14ac:dyDescent="0.3">
      <c r="A182" s="3"/>
    </row>
    <row r="183" spans="1:1" x14ac:dyDescent="0.3">
      <c r="A183" s="3"/>
    </row>
    <row r="184" spans="1:1" x14ac:dyDescent="0.3">
      <c r="A184" s="3"/>
    </row>
    <row r="185" spans="1:1" x14ac:dyDescent="0.3">
      <c r="A185" s="3"/>
    </row>
    <row r="186" spans="1:1" x14ac:dyDescent="0.3">
      <c r="A186" s="3"/>
    </row>
    <row r="187" spans="1:1" x14ac:dyDescent="0.3">
      <c r="A187" s="3"/>
    </row>
    <row r="188" spans="1:1" x14ac:dyDescent="0.3">
      <c r="A188" s="3"/>
    </row>
    <row r="189" spans="1:1" x14ac:dyDescent="0.3">
      <c r="A189" s="3"/>
    </row>
    <row r="190" spans="1:1" x14ac:dyDescent="0.3">
      <c r="A190" s="3"/>
    </row>
    <row r="191" spans="1:1" x14ac:dyDescent="0.3">
      <c r="A191" s="3"/>
    </row>
    <row r="192" spans="1:1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6" spans="1:1" x14ac:dyDescent="0.3">
      <c r="A196" s="3"/>
    </row>
    <row r="197" spans="1:1" x14ac:dyDescent="0.3">
      <c r="A197" s="3"/>
    </row>
    <row r="198" spans="1:1" x14ac:dyDescent="0.3">
      <c r="A198" s="3"/>
    </row>
    <row r="199" spans="1:1" x14ac:dyDescent="0.3">
      <c r="A199" s="3"/>
    </row>
    <row r="200" spans="1:1" x14ac:dyDescent="0.3">
      <c r="A200" s="3"/>
    </row>
    <row r="201" spans="1:1" x14ac:dyDescent="0.3">
      <c r="A201" s="3"/>
    </row>
    <row r="202" spans="1:1" x14ac:dyDescent="0.3">
      <c r="A202" s="3"/>
    </row>
    <row r="203" spans="1:1" x14ac:dyDescent="0.3">
      <c r="A203" s="3"/>
    </row>
    <row r="204" spans="1:1" x14ac:dyDescent="0.3">
      <c r="A204" s="3"/>
    </row>
    <row r="205" spans="1:1" x14ac:dyDescent="0.3">
      <c r="A205" s="3"/>
    </row>
    <row r="206" spans="1:1" x14ac:dyDescent="0.3">
      <c r="A206" s="3"/>
    </row>
    <row r="207" spans="1:1" x14ac:dyDescent="0.3">
      <c r="A207" s="3"/>
    </row>
    <row r="208" spans="1:1" x14ac:dyDescent="0.3">
      <c r="A208" s="3"/>
    </row>
    <row r="209" spans="1:1" x14ac:dyDescent="0.3">
      <c r="A209" s="3"/>
    </row>
    <row r="210" spans="1:1" x14ac:dyDescent="0.3">
      <c r="A210" s="3"/>
    </row>
    <row r="211" spans="1:1" x14ac:dyDescent="0.3">
      <c r="A211" s="3"/>
    </row>
    <row r="212" spans="1:1" x14ac:dyDescent="0.3">
      <c r="A212" s="3"/>
    </row>
    <row r="213" spans="1:1" x14ac:dyDescent="0.3">
      <c r="A213" s="3"/>
    </row>
    <row r="214" spans="1:1" x14ac:dyDescent="0.3">
      <c r="A214" s="3"/>
    </row>
    <row r="215" spans="1:1" x14ac:dyDescent="0.3">
      <c r="A215" s="3"/>
    </row>
    <row r="216" spans="1:1" x14ac:dyDescent="0.3">
      <c r="A216" s="3"/>
    </row>
    <row r="217" spans="1:1" x14ac:dyDescent="0.3">
      <c r="A217" s="3"/>
    </row>
    <row r="218" spans="1:1" x14ac:dyDescent="0.3">
      <c r="A218" s="3"/>
    </row>
    <row r="219" spans="1:1" x14ac:dyDescent="0.3">
      <c r="A219" s="3"/>
    </row>
    <row r="220" spans="1:1" x14ac:dyDescent="0.3">
      <c r="A220" s="3"/>
    </row>
    <row r="221" spans="1:1" x14ac:dyDescent="0.3">
      <c r="A221" s="3"/>
    </row>
    <row r="222" spans="1:1" x14ac:dyDescent="0.3">
      <c r="A222" s="3"/>
    </row>
    <row r="223" spans="1:1" x14ac:dyDescent="0.3">
      <c r="A223" s="3"/>
    </row>
    <row r="224" spans="1:1" x14ac:dyDescent="0.3">
      <c r="A224" s="3"/>
    </row>
    <row r="225" spans="1:1" x14ac:dyDescent="0.3">
      <c r="A225" s="3"/>
    </row>
    <row r="226" spans="1:1" x14ac:dyDescent="0.3">
      <c r="A226" s="3"/>
    </row>
    <row r="227" spans="1:1" x14ac:dyDescent="0.3">
      <c r="A227" s="3"/>
    </row>
    <row r="228" spans="1:1" x14ac:dyDescent="0.3">
      <c r="A228" s="3"/>
    </row>
    <row r="229" spans="1:1" x14ac:dyDescent="0.3">
      <c r="A229" s="3"/>
    </row>
    <row r="230" spans="1:1" x14ac:dyDescent="0.3">
      <c r="A230" s="3"/>
    </row>
    <row r="231" spans="1:1" x14ac:dyDescent="0.3">
      <c r="A231" s="3"/>
    </row>
    <row r="232" spans="1:1" x14ac:dyDescent="0.3">
      <c r="A232" s="3"/>
    </row>
    <row r="233" spans="1:1" x14ac:dyDescent="0.3">
      <c r="A233" s="3"/>
    </row>
    <row r="234" spans="1:1" x14ac:dyDescent="0.3">
      <c r="A234" s="3"/>
    </row>
    <row r="235" spans="1:1" x14ac:dyDescent="0.3">
      <c r="A235" s="3"/>
    </row>
    <row r="236" spans="1:1" x14ac:dyDescent="0.3">
      <c r="A236" s="3"/>
    </row>
    <row r="237" spans="1:1" x14ac:dyDescent="0.3">
      <c r="A237" s="3"/>
    </row>
    <row r="238" spans="1:1" x14ac:dyDescent="0.3">
      <c r="A238" s="3"/>
    </row>
    <row r="239" spans="1:1" x14ac:dyDescent="0.3">
      <c r="A239" s="3"/>
    </row>
    <row r="240" spans="1:1" x14ac:dyDescent="0.3">
      <c r="A240" s="3"/>
    </row>
    <row r="241" spans="1:1" x14ac:dyDescent="0.3">
      <c r="A241" s="3"/>
    </row>
    <row r="242" spans="1:1" x14ac:dyDescent="0.3">
      <c r="A242" s="3"/>
    </row>
    <row r="243" spans="1:1" x14ac:dyDescent="0.3">
      <c r="A243" s="3"/>
    </row>
    <row r="244" spans="1:1" x14ac:dyDescent="0.3">
      <c r="A244" s="3"/>
    </row>
    <row r="245" spans="1:1" x14ac:dyDescent="0.3">
      <c r="A245" s="3"/>
    </row>
    <row r="246" spans="1:1" x14ac:dyDescent="0.3">
      <c r="A246" s="3"/>
    </row>
    <row r="247" spans="1:1" x14ac:dyDescent="0.3">
      <c r="A247" s="3"/>
    </row>
    <row r="248" spans="1:1" x14ac:dyDescent="0.3">
      <c r="A248" s="3"/>
    </row>
    <row r="249" spans="1:1" x14ac:dyDescent="0.3">
      <c r="A249" s="3"/>
    </row>
    <row r="250" spans="1:1" x14ac:dyDescent="0.3">
      <c r="A250" s="3"/>
    </row>
    <row r="251" spans="1:1" x14ac:dyDescent="0.3">
      <c r="A251" s="3"/>
    </row>
    <row r="252" spans="1:1" x14ac:dyDescent="0.3">
      <c r="A252" s="3"/>
    </row>
    <row r="253" spans="1:1" x14ac:dyDescent="0.3">
      <c r="A253" s="3"/>
    </row>
    <row r="254" spans="1:1" x14ac:dyDescent="0.3">
      <c r="A254" s="3"/>
    </row>
    <row r="255" spans="1:1" x14ac:dyDescent="0.3">
      <c r="A255" s="3"/>
    </row>
    <row r="256" spans="1:1" x14ac:dyDescent="0.3">
      <c r="A256" s="3"/>
    </row>
    <row r="257" spans="1:1" x14ac:dyDescent="0.3">
      <c r="A257" s="3"/>
    </row>
    <row r="258" spans="1:1" x14ac:dyDescent="0.3">
      <c r="A258" s="3"/>
    </row>
    <row r="259" spans="1:1" x14ac:dyDescent="0.3">
      <c r="A259" s="3"/>
    </row>
    <row r="260" spans="1:1" x14ac:dyDescent="0.3">
      <c r="A260" s="3"/>
    </row>
    <row r="261" spans="1:1" x14ac:dyDescent="0.3">
      <c r="A261" s="3"/>
    </row>
    <row r="262" spans="1:1" x14ac:dyDescent="0.3">
      <c r="A262" s="3"/>
    </row>
    <row r="263" spans="1:1" x14ac:dyDescent="0.3">
      <c r="A263" s="3"/>
    </row>
    <row r="264" spans="1:1" x14ac:dyDescent="0.3">
      <c r="A264" s="3"/>
    </row>
    <row r="265" spans="1:1" x14ac:dyDescent="0.3">
      <c r="A265" s="3"/>
    </row>
    <row r="266" spans="1:1" x14ac:dyDescent="0.3">
      <c r="A266" s="3"/>
    </row>
    <row r="267" spans="1:1" x14ac:dyDescent="0.3">
      <c r="A267" s="3"/>
    </row>
    <row r="268" spans="1:1" x14ac:dyDescent="0.3">
      <c r="A268" s="3"/>
    </row>
    <row r="269" spans="1:1" x14ac:dyDescent="0.3">
      <c r="A269" s="3"/>
    </row>
    <row r="270" spans="1:1" x14ac:dyDescent="0.3">
      <c r="A270" s="3"/>
    </row>
    <row r="271" spans="1:1" x14ac:dyDescent="0.3">
      <c r="A271" s="3"/>
    </row>
    <row r="272" spans="1:1" x14ac:dyDescent="0.3">
      <c r="A272" s="3"/>
    </row>
    <row r="273" spans="1:1" x14ac:dyDescent="0.3">
      <c r="A273" s="3"/>
    </row>
    <row r="274" spans="1:1" x14ac:dyDescent="0.3">
      <c r="A274" s="3"/>
    </row>
    <row r="275" spans="1:1" x14ac:dyDescent="0.3">
      <c r="A275" s="3"/>
    </row>
    <row r="276" spans="1:1" x14ac:dyDescent="0.3">
      <c r="A276" s="3"/>
    </row>
    <row r="277" spans="1:1" x14ac:dyDescent="0.3">
      <c r="A277" s="3"/>
    </row>
    <row r="278" spans="1:1" x14ac:dyDescent="0.3">
      <c r="A278" s="3"/>
    </row>
    <row r="279" spans="1:1" x14ac:dyDescent="0.3">
      <c r="A279" s="3"/>
    </row>
    <row r="280" spans="1:1" x14ac:dyDescent="0.3">
      <c r="A280" s="3"/>
    </row>
    <row r="281" spans="1:1" x14ac:dyDescent="0.3">
      <c r="A281" s="3"/>
    </row>
    <row r="282" spans="1:1" x14ac:dyDescent="0.3">
      <c r="A282" s="3"/>
    </row>
    <row r="283" spans="1:1" x14ac:dyDescent="0.3">
      <c r="A283" s="3"/>
    </row>
    <row r="284" spans="1:1" x14ac:dyDescent="0.3">
      <c r="A284" s="3"/>
    </row>
    <row r="285" spans="1:1" x14ac:dyDescent="0.3">
      <c r="A285" s="3"/>
    </row>
    <row r="286" spans="1:1" x14ac:dyDescent="0.3">
      <c r="A286" s="3"/>
    </row>
    <row r="287" spans="1:1" x14ac:dyDescent="0.3">
      <c r="A287" s="3"/>
    </row>
    <row r="288" spans="1:1" x14ac:dyDescent="0.3">
      <c r="A288" s="3"/>
    </row>
    <row r="289" spans="1:1" x14ac:dyDescent="0.3">
      <c r="A289" s="3"/>
    </row>
    <row r="290" spans="1:1" x14ac:dyDescent="0.3">
      <c r="A290" s="3"/>
    </row>
    <row r="291" spans="1:1" x14ac:dyDescent="0.3">
      <c r="A291" s="3"/>
    </row>
    <row r="292" spans="1:1" x14ac:dyDescent="0.3">
      <c r="A292" s="3"/>
    </row>
    <row r="293" spans="1:1" x14ac:dyDescent="0.3">
      <c r="A293" s="3"/>
    </row>
    <row r="294" spans="1:1" x14ac:dyDescent="0.3">
      <c r="A294" s="3"/>
    </row>
    <row r="295" spans="1:1" x14ac:dyDescent="0.3">
      <c r="A295" s="3"/>
    </row>
    <row r="296" spans="1:1" x14ac:dyDescent="0.3">
      <c r="A296" s="3"/>
    </row>
    <row r="297" spans="1:1" x14ac:dyDescent="0.3">
      <c r="A297" s="3"/>
    </row>
    <row r="298" spans="1:1" x14ac:dyDescent="0.3">
      <c r="A298" s="3"/>
    </row>
    <row r="299" spans="1:1" x14ac:dyDescent="0.3">
      <c r="A299" s="3"/>
    </row>
    <row r="300" spans="1:1" x14ac:dyDescent="0.3">
      <c r="A300" s="3"/>
    </row>
    <row r="301" spans="1:1" x14ac:dyDescent="0.3">
      <c r="A301" s="3"/>
    </row>
    <row r="302" spans="1:1" x14ac:dyDescent="0.3">
      <c r="A302" s="3"/>
    </row>
    <row r="303" spans="1:1" x14ac:dyDescent="0.3">
      <c r="A303" s="3"/>
    </row>
    <row r="304" spans="1:1" x14ac:dyDescent="0.3">
      <c r="A304" s="3"/>
    </row>
    <row r="305" spans="1:1" x14ac:dyDescent="0.3">
      <c r="A305" s="3"/>
    </row>
    <row r="306" spans="1:1" x14ac:dyDescent="0.3">
      <c r="A306" s="3"/>
    </row>
    <row r="307" spans="1:1" x14ac:dyDescent="0.3">
      <c r="A307" s="3"/>
    </row>
    <row r="308" spans="1:1" x14ac:dyDescent="0.3">
      <c r="A308" s="3"/>
    </row>
    <row r="309" spans="1:1" x14ac:dyDescent="0.3">
      <c r="A309" s="3"/>
    </row>
  </sheetData>
  <dataConsolidate/>
  <phoneticPr fontId="1" type="noConversion"/>
  <dataValidations count="4">
    <dataValidation type="list" allowBlank="1" showInputMessage="1" showErrorMessage="1" sqref="D2:D67" xr:uid="{0A0DBDA9-0EB5-4D50-AC20-753DD7E6530D}">
      <formula1>设备列表</formula1>
    </dataValidation>
    <dataValidation type="whole" errorStyle="warning" operator="greaterThan" allowBlank="1" showInputMessage="1" showErrorMessage="1" errorTitle="数据错误" error="请输出整数" sqref="B2:B66" xr:uid="{2F5C65EB-2F3D-4832-9F1B-0DC977132839}">
      <formula1>-1</formula1>
    </dataValidation>
    <dataValidation type="list" errorStyle="warning" allowBlank="1" showDropDown="1" showErrorMessage="1" errorTitle="名称错误" error="产品信息不存在或填写出错，请检查Items内信息，保证名称一致" promptTitle="输出产品名称" sqref="A2:A61 A73:A309" xr:uid="{1A52F994-1122-4AD5-A59A-A455497A966C}">
      <formula1>材料产品列表</formula1>
    </dataValidation>
    <dataValidation allowBlank="1" showInputMessage="1" showErrorMessage="1" promptTitle="请注意！！" prompt="此处输出计数时，以个/2s为基础，若生产时间为10s，则仅对输入全部➗5，输出为1而不是0.2" sqref="B1" xr:uid="{14EC03E9-BAAA-465A-9E02-64D85FB19A2E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F113-4441-4FDE-B347-C55E5E0C1530}">
  <dimension ref="A1:B15"/>
  <sheetViews>
    <sheetView workbookViewId="0">
      <selection activeCell="B11" sqref="B11"/>
    </sheetView>
  </sheetViews>
  <sheetFormatPr defaultRowHeight="14" x14ac:dyDescent="0.3"/>
  <cols>
    <col min="1" max="1" width="14.6640625" style="5" customWidth="1"/>
    <col min="2" max="2" width="9.33203125" style="9" bestFit="1" customWidth="1"/>
  </cols>
  <sheetData>
    <row r="1" spans="1:2" x14ac:dyDescent="0.3">
      <c r="A1" s="5" t="s">
        <v>191</v>
      </c>
      <c r="B1" s="9" t="s">
        <v>192</v>
      </c>
    </row>
    <row r="2" spans="1:2" x14ac:dyDescent="0.3">
      <c r="A2" s="5" t="s">
        <v>119</v>
      </c>
      <c r="B2" s="9">
        <v>1</v>
      </c>
    </row>
    <row r="3" spans="1:2" x14ac:dyDescent="0.3">
      <c r="A3" s="5" t="s">
        <v>193</v>
      </c>
      <c r="B3" s="9">
        <v>1</v>
      </c>
    </row>
    <row r="4" spans="1:2" x14ac:dyDescent="0.3">
      <c r="A4" s="5" t="s">
        <v>194</v>
      </c>
      <c r="B4" s="9">
        <v>2</v>
      </c>
    </row>
    <row r="5" spans="1:2" x14ac:dyDescent="0.3">
      <c r="A5" s="5" t="s">
        <v>195</v>
      </c>
      <c r="B5" s="9">
        <v>2</v>
      </c>
    </row>
    <row r="6" spans="1:2" x14ac:dyDescent="0.3">
      <c r="A6" s="5" t="s">
        <v>196</v>
      </c>
      <c r="B6" s="9">
        <v>2</v>
      </c>
    </row>
    <row r="7" spans="1:2" x14ac:dyDescent="0.3">
      <c r="A7" s="5" t="s">
        <v>197</v>
      </c>
      <c r="B7" s="9">
        <v>5.4</v>
      </c>
    </row>
    <row r="8" spans="1:2" x14ac:dyDescent="0.3">
      <c r="A8" s="5" t="s">
        <v>198</v>
      </c>
      <c r="B8" s="9">
        <v>5.4</v>
      </c>
    </row>
    <row r="9" spans="1:2" x14ac:dyDescent="0.3">
      <c r="A9" s="5" t="s">
        <v>199</v>
      </c>
      <c r="B9" s="9">
        <v>6</v>
      </c>
    </row>
    <row r="10" spans="1:2" x14ac:dyDescent="0.3">
      <c r="A10" s="5" t="s">
        <v>200</v>
      </c>
      <c r="B10" s="9">
        <v>14</v>
      </c>
    </row>
    <row r="11" spans="1:2" x14ac:dyDescent="0.3">
      <c r="A11" s="5" t="s">
        <v>144</v>
      </c>
      <c r="B11" s="9">
        <v>14</v>
      </c>
    </row>
    <row r="12" spans="1:2" x14ac:dyDescent="0.3">
      <c r="A12" s="5" t="s">
        <v>84</v>
      </c>
      <c r="B12" s="9">
        <v>14</v>
      </c>
    </row>
    <row r="13" spans="1:2" x14ac:dyDescent="0.3">
      <c r="A13" s="5" t="s">
        <v>201</v>
      </c>
      <c r="B13" s="9">
        <v>1</v>
      </c>
    </row>
    <row r="14" spans="1:2" x14ac:dyDescent="0.3">
      <c r="A14" s="5" t="s">
        <v>142</v>
      </c>
      <c r="B14" s="9">
        <v>3.2</v>
      </c>
    </row>
    <row r="15" spans="1:2" x14ac:dyDescent="0.3">
      <c r="A15" s="5" t="s">
        <v>202</v>
      </c>
      <c r="B15" s="9">
        <v>3</v>
      </c>
    </row>
  </sheetData>
  <phoneticPr fontId="1" type="noConversion"/>
  <dataValidations count="2">
    <dataValidation type="list" allowBlank="1" showDropDown="1" showInputMessage="1" showErrorMessage="1" sqref="A2:A26" xr:uid="{BFAA6BE8-8985-4490-8CD7-944A22E653AD}">
      <formula1>材料产品列表</formula1>
    </dataValidation>
    <dataValidation allowBlank="1" showInputMessage="1" showErrorMessage="1" promptTitle="请注意！！" prompt="此处的价格，制作时间为2秒的，使用游戏内记录价格；制作时间为10秒的，价格在游戏内基础上除以5计算" sqref="B1" xr:uid="{A7B57514-0825-4EFA-9F6A-8506DA353654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0DA7-961D-4850-898B-D40C4049933D}">
  <dimension ref="A1:B5"/>
  <sheetViews>
    <sheetView workbookViewId="0">
      <selection activeCell="B2" sqref="B2"/>
    </sheetView>
  </sheetViews>
  <sheetFormatPr defaultRowHeight="14" x14ac:dyDescent="0.3"/>
  <cols>
    <col min="1" max="1" width="8.6640625" style="5"/>
    <col min="2" max="2" width="9.33203125" style="9" bestFit="1" customWidth="1"/>
  </cols>
  <sheetData>
    <row r="1" spans="1:2" x14ac:dyDescent="0.3">
      <c r="A1" s="5" t="s">
        <v>191</v>
      </c>
      <c r="B1" s="9" t="s">
        <v>192</v>
      </c>
    </row>
    <row r="2" spans="1:2" x14ac:dyDescent="0.3">
      <c r="A2" s="5" t="s">
        <v>203</v>
      </c>
      <c r="B2" s="9">
        <v>0</v>
      </c>
    </row>
    <row r="3" spans="1:2" x14ac:dyDescent="0.3">
      <c r="A3" s="5" t="s">
        <v>204</v>
      </c>
      <c r="B3" s="9">
        <v>3.2</v>
      </c>
    </row>
    <row r="4" spans="1:2" x14ac:dyDescent="0.3">
      <c r="A4" s="5" t="s">
        <v>205</v>
      </c>
      <c r="B4" s="9">
        <v>3.2</v>
      </c>
    </row>
    <row r="5" spans="1:2" x14ac:dyDescent="0.3">
      <c r="A5" s="5" t="s">
        <v>145</v>
      </c>
      <c r="B5" s="9">
        <v>5</v>
      </c>
    </row>
  </sheetData>
  <phoneticPr fontId="1" type="noConversion"/>
  <dataValidations count="1">
    <dataValidation type="list" allowBlank="1" showDropDown="1" showInputMessage="1" showErrorMessage="1" sqref="A2:A26" xr:uid="{95E525EE-6632-4702-8D0A-C9A53C395E86}">
      <formula1>材料产品列表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Items</vt:lpstr>
      <vt:lpstr>Limit</vt:lpstr>
      <vt:lpstr>Recipes</vt:lpstr>
      <vt:lpstr>sell_四号谷地</vt:lpstr>
      <vt:lpstr>sell_武陵城</vt:lpstr>
      <vt:lpstr>材料产品</vt:lpstr>
      <vt:lpstr>设备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WCH G</cp:lastModifiedBy>
  <dcterms:created xsi:type="dcterms:W3CDTF">2015-06-05T18:19:34Z</dcterms:created>
  <dcterms:modified xsi:type="dcterms:W3CDTF">2026-01-30T05:52:03Z</dcterms:modified>
</cp:coreProperties>
</file>